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eRA\analytics-autobuild\01-ecommerce-analytics\excel\"/>
    </mc:Choice>
  </mc:AlternateContent>
  <xr:revisionPtr revIDLastSave="0" documentId="13_ncr:1_{752BB921-7E72-427F-BB06-FB1B3DC0F1A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ummary" sheetId="1" r:id="rId1"/>
    <sheet name="Monthly" sheetId="2" r:id="rId2"/>
    <sheet name="Category" sheetId="3" r:id="rId3"/>
    <sheet name="Region" sheetId="4" r:id="rId4"/>
    <sheet name="RFM" sheetId="5" r:id="rId5"/>
    <sheet name="Payments" sheetId="6" r:id="rId6"/>
    <sheet name="Impact mode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7" l="1"/>
  <c r="B30" i="7"/>
  <c r="B29" i="7"/>
  <c r="B28" i="7"/>
  <c r="B27" i="7"/>
  <c r="B26" i="7"/>
  <c r="B19" i="7"/>
  <c r="B18" i="7"/>
  <c r="B17" i="7"/>
  <c r="E8" i="6"/>
  <c r="D8" i="6"/>
  <c r="E7" i="6"/>
  <c r="D7" i="6"/>
  <c r="E6" i="6"/>
  <c r="D6" i="6"/>
  <c r="E5" i="6"/>
  <c r="D5" i="6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K31" i="4"/>
  <c r="J31" i="4"/>
  <c r="I31" i="4"/>
  <c r="K30" i="4"/>
  <c r="J30" i="4"/>
  <c r="I30" i="4"/>
  <c r="K29" i="4"/>
  <c r="J29" i="4"/>
  <c r="I29" i="4"/>
  <c r="L29" i="4" s="1"/>
  <c r="K28" i="4"/>
  <c r="J28" i="4"/>
  <c r="I28" i="4"/>
  <c r="K27" i="4"/>
  <c r="J27" i="4"/>
  <c r="I27" i="4"/>
  <c r="K26" i="4"/>
  <c r="J26" i="4"/>
  <c r="I26" i="4"/>
  <c r="K25" i="4"/>
  <c r="J25" i="4"/>
  <c r="I25" i="4"/>
  <c r="K24" i="4"/>
  <c r="J24" i="4"/>
  <c r="I24" i="4"/>
  <c r="L24" i="4" s="1"/>
  <c r="K23" i="4"/>
  <c r="J23" i="4"/>
  <c r="I23" i="4"/>
  <c r="K22" i="4"/>
  <c r="J22" i="4"/>
  <c r="I22" i="4"/>
  <c r="K21" i="4"/>
  <c r="J21" i="4"/>
  <c r="I21" i="4"/>
  <c r="K20" i="4"/>
  <c r="J20" i="4"/>
  <c r="I20" i="4"/>
  <c r="K19" i="4"/>
  <c r="J19" i="4"/>
  <c r="I19" i="4"/>
  <c r="L19" i="4" s="1"/>
  <c r="K18" i="4"/>
  <c r="J18" i="4"/>
  <c r="I18" i="4"/>
  <c r="L18" i="4" s="1"/>
  <c r="K17" i="4"/>
  <c r="J17" i="4"/>
  <c r="I17" i="4"/>
  <c r="K16" i="4"/>
  <c r="J16" i="4"/>
  <c r="I16" i="4"/>
  <c r="K15" i="4"/>
  <c r="J15" i="4"/>
  <c r="I15" i="4"/>
  <c r="K14" i="4"/>
  <c r="J14" i="4"/>
  <c r="I14" i="4"/>
  <c r="K13" i="4"/>
  <c r="J13" i="4"/>
  <c r="I13" i="4"/>
  <c r="K12" i="4"/>
  <c r="J12" i="4"/>
  <c r="I12" i="4"/>
  <c r="K11" i="4"/>
  <c r="J11" i="4"/>
  <c r="I11" i="4"/>
  <c r="K10" i="4"/>
  <c r="J10" i="4"/>
  <c r="I10" i="4"/>
  <c r="L10" i="4" s="1"/>
  <c r="K9" i="4"/>
  <c r="J9" i="4"/>
  <c r="I9" i="4"/>
  <c r="K8" i="4"/>
  <c r="J8" i="4"/>
  <c r="I8" i="4"/>
  <c r="L8" i="4" s="1"/>
  <c r="K7" i="4"/>
  <c r="J7" i="4"/>
  <c r="I7" i="4"/>
  <c r="K6" i="4"/>
  <c r="J6" i="4"/>
  <c r="I6" i="4"/>
  <c r="K5" i="4"/>
  <c r="J5" i="4"/>
  <c r="I5" i="4"/>
  <c r="F2" i="4"/>
  <c r="L25" i="4" s="1"/>
  <c r="H78" i="3"/>
  <c r="G78" i="3"/>
  <c r="F78" i="3"/>
  <c r="E78" i="3"/>
  <c r="H77" i="3"/>
  <c r="G77" i="3"/>
  <c r="F77" i="3"/>
  <c r="E77" i="3"/>
  <c r="H76" i="3"/>
  <c r="G76" i="3"/>
  <c r="F76" i="3"/>
  <c r="E76" i="3"/>
  <c r="H75" i="3"/>
  <c r="G75" i="3"/>
  <c r="F75" i="3"/>
  <c r="E75" i="3"/>
  <c r="H74" i="3"/>
  <c r="G74" i="3"/>
  <c r="F74" i="3"/>
  <c r="E74" i="3"/>
  <c r="H73" i="3"/>
  <c r="G73" i="3"/>
  <c r="F73" i="3"/>
  <c r="E73" i="3"/>
  <c r="H72" i="3"/>
  <c r="G72" i="3"/>
  <c r="F72" i="3"/>
  <c r="E72" i="3"/>
  <c r="H71" i="3"/>
  <c r="G71" i="3"/>
  <c r="F71" i="3"/>
  <c r="E71" i="3"/>
  <c r="H70" i="3"/>
  <c r="G70" i="3"/>
  <c r="F70" i="3"/>
  <c r="E70" i="3"/>
  <c r="H69" i="3"/>
  <c r="G69" i="3"/>
  <c r="F69" i="3"/>
  <c r="E69" i="3"/>
  <c r="H68" i="3"/>
  <c r="G68" i="3"/>
  <c r="F68" i="3"/>
  <c r="E68" i="3"/>
  <c r="H67" i="3"/>
  <c r="G67" i="3"/>
  <c r="F67" i="3"/>
  <c r="E67" i="3"/>
  <c r="H66" i="3"/>
  <c r="G66" i="3"/>
  <c r="F66" i="3"/>
  <c r="E66" i="3"/>
  <c r="H65" i="3"/>
  <c r="G65" i="3"/>
  <c r="F65" i="3"/>
  <c r="E65" i="3"/>
  <c r="H64" i="3"/>
  <c r="G64" i="3"/>
  <c r="F64" i="3"/>
  <c r="E64" i="3"/>
  <c r="H63" i="3"/>
  <c r="G63" i="3"/>
  <c r="F63" i="3"/>
  <c r="E63" i="3"/>
  <c r="H62" i="3"/>
  <c r="G62" i="3"/>
  <c r="F62" i="3"/>
  <c r="E62" i="3"/>
  <c r="H61" i="3"/>
  <c r="G61" i="3"/>
  <c r="F61" i="3"/>
  <c r="E61" i="3"/>
  <c r="H60" i="3"/>
  <c r="G60" i="3"/>
  <c r="F60" i="3"/>
  <c r="E60" i="3"/>
  <c r="H59" i="3"/>
  <c r="G59" i="3"/>
  <c r="F59" i="3"/>
  <c r="E59" i="3"/>
  <c r="H58" i="3"/>
  <c r="G58" i="3"/>
  <c r="F58" i="3"/>
  <c r="E58" i="3"/>
  <c r="H57" i="3"/>
  <c r="G57" i="3"/>
  <c r="F57" i="3"/>
  <c r="E57" i="3"/>
  <c r="H56" i="3"/>
  <c r="G56" i="3"/>
  <c r="F56" i="3"/>
  <c r="E56" i="3"/>
  <c r="H55" i="3"/>
  <c r="G55" i="3"/>
  <c r="F55" i="3"/>
  <c r="E55" i="3"/>
  <c r="H54" i="3"/>
  <c r="G54" i="3"/>
  <c r="F54" i="3"/>
  <c r="E54" i="3"/>
  <c r="H53" i="3"/>
  <c r="G53" i="3"/>
  <c r="F53" i="3"/>
  <c r="E53" i="3"/>
  <c r="H52" i="3"/>
  <c r="G52" i="3"/>
  <c r="F52" i="3"/>
  <c r="E52" i="3"/>
  <c r="H51" i="3"/>
  <c r="G51" i="3"/>
  <c r="F51" i="3"/>
  <c r="E51" i="3"/>
  <c r="H50" i="3"/>
  <c r="G50" i="3"/>
  <c r="F50" i="3"/>
  <c r="E50" i="3"/>
  <c r="H49" i="3"/>
  <c r="G49" i="3"/>
  <c r="F49" i="3"/>
  <c r="E49" i="3"/>
  <c r="H48" i="3"/>
  <c r="G48" i="3"/>
  <c r="F48" i="3"/>
  <c r="E48" i="3"/>
  <c r="H47" i="3"/>
  <c r="G47" i="3"/>
  <c r="F47" i="3"/>
  <c r="E47" i="3"/>
  <c r="H46" i="3"/>
  <c r="G46" i="3"/>
  <c r="F46" i="3"/>
  <c r="E46" i="3"/>
  <c r="H45" i="3"/>
  <c r="G45" i="3"/>
  <c r="F45" i="3"/>
  <c r="E45" i="3"/>
  <c r="H44" i="3"/>
  <c r="G44" i="3"/>
  <c r="F44" i="3"/>
  <c r="E44" i="3"/>
  <c r="H43" i="3"/>
  <c r="G43" i="3"/>
  <c r="F43" i="3"/>
  <c r="E43" i="3"/>
  <c r="H42" i="3"/>
  <c r="G42" i="3"/>
  <c r="F42" i="3"/>
  <c r="E42" i="3"/>
  <c r="H41" i="3"/>
  <c r="G41" i="3"/>
  <c r="F41" i="3"/>
  <c r="E41" i="3"/>
  <c r="H40" i="3"/>
  <c r="G40" i="3"/>
  <c r="F40" i="3"/>
  <c r="E40" i="3"/>
  <c r="H39" i="3"/>
  <c r="G39" i="3"/>
  <c r="F39" i="3"/>
  <c r="E39" i="3"/>
  <c r="H38" i="3"/>
  <c r="G38" i="3"/>
  <c r="F38" i="3"/>
  <c r="E38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B14" i="1" s="1"/>
  <c r="E5" i="3"/>
  <c r="I24" i="2"/>
  <c r="H24" i="2"/>
  <c r="G24" i="2"/>
  <c r="F24" i="2"/>
  <c r="I23" i="2"/>
  <c r="H23" i="2"/>
  <c r="G23" i="2"/>
  <c r="F23" i="2"/>
  <c r="I22" i="2"/>
  <c r="H22" i="2"/>
  <c r="G22" i="2"/>
  <c r="F22" i="2"/>
  <c r="I21" i="2"/>
  <c r="H21" i="2"/>
  <c r="G21" i="2"/>
  <c r="F21" i="2"/>
  <c r="I20" i="2"/>
  <c r="H20" i="2"/>
  <c r="G20" i="2"/>
  <c r="F20" i="2"/>
  <c r="I19" i="2"/>
  <c r="H19" i="2"/>
  <c r="G19" i="2"/>
  <c r="F19" i="2"/>
  <c r="I18" i="2"/>
  <c r="H18" i="2"/>
  <c r="G18" i="2"/>
  <c r="F18" i="2"/>
  <c r="I17" i="2"/>
  <c r="H17" i="2"/>
  <c r="G17" i="2"/>
  <c r="F17" i="2"/>
  <c r="I16" i="2"/>
  <c r="G16" i="2"/>
  <c r="F16" i="2"/>
  <c r="I15" i="2"/>
  <c r="G15" i="2"/>
  <c r="F15" i="2"/>
  <c r="I14" i="2"/>
  <c r="G14" i="2"/>
  <c r="F14" i="2"/>
  <c r="I13" i="2"/>
  <c r="G13" i="2"/>
  <c r="F13" i="2"/>
  <c r="I12" i="2"/>
  <c r="G12" i="2"/>
  <c r="F12" i="2"/>
  <c r="I11" i="2"/>
  <c r="G11" i="2"/>
  <c r="F11" i="2"/>
  <c r="I10" i="2"/>
  <c r="G10" i="2"/>
  <c r="F10" i="2"/>
  <c r="I9" i="2"/>
  <c r="G9" i="2"/>
  <c r="F9" i="2"/>
  <c r="I8" i="2"/>
  <c r="G8" i="2"/>
  <c r="F8" i="2"/>
  <c r="I7" i="2"/>
  <c r="G7" i="2"/>
  <c r="F7" i="2"/>
  <c r="I6" i="2"/>
  <c r="G6" i="2"/>
  <c r="F6" i="2"/>
  <c r="I5" i="2"/>
  <c r="F5" i="2"/>
  <c r="B13" i="1"/>
  <c r="B12" i="1"/>
  <c r="B11" i="1"/>
  <c r="B10" i="1"/>
  <c r="B8" i="1"/>
  <c r="B9" i="1" s="1"/>
  <c r="B6" i="1"/>
  <c r="B5" i="1"/>
  <c r="L14" i="4" l="1"/>
  <c r="L30" i="4"/>
  <c r="B7" i="1"/>
  <c r="L20" i="4"/>
  <c r="L15" i="4"/>
  <c r="L31" i="4"/>
  <c r="B20" i="7"/>
  <c r="B21" i="7" s="1"/>
  <c r="L5" i="4"/>
  <c r="L16" i="4"/>
  <c r="L11" i="4"/>
  <c r="L27" i="4"/>
  <c r="L6" i="4"/>
  <c r="L22" i="4"/>
  <c r="L26" i="4"/>
  <c r="L12" i="4"/>
  <c r="L28" i="4"/>
  <c r="L7" i="4"/>
  <c r="L23" i="4"/>
  <c r="L9" i="4"/>
  <c r="L13" i="4"/>
  <c r="L17" i="4"/>
  <c r="L21" i="4"/>
  <c r="B15" i="1" l="1"/>
</calcChain>
</file>

<file path=xl/sharedStrings.xml><?xml version="1.0" encoding="utf-8"?>
<sst xmlns="http://schemas.openxmlformats.org/spreadsheetml/2006/main" count="229" uniqueCount="213">
  <si>
    <t>Olist e-commerce: executive KPIs (Jan 2017 - Aug 2018)</t>
  </si>
  <si>
    <t>Every value below is a formula over the data sheets. Source: Olist public dataset (Kaggle), real data.</t>
  </si>
  <si>
    <t>KPI</t>
  </si>
  <si>
    <t>Value</t>
  </si>
  <si>
    <t>Revenue (item prices, R$)</t>
  </si>
  <si>
    <t>Orders</t>
  </si>
  <si>
    <t>Average order value (R$)</t>
  </si>
  <si>
    <t>Customers</t>
  </si>
  <si>
    <t>Repeat purchase rate</t>
  </si>
  <si>
    <t>On-time delivery rate</t>
  </si>
  <si>
    <t>Average delivery days</t>
  </si>
  <si>
    <t>Average review score</t>
  </si>
  <si>
    <t>Jan-Aug YoY revenue growth</t>
  </si>
  <si>
    <t>Top-10 category revenue share</t>
  </si>
  <si>
    <t>Growth actions: total annual impact (R$)</t>
  </si>
  <si>
    <t>Sheets: Monthly, Category, Region, RFM, Payments, Impact model. Rates and averages are recomputed from sums, never typed in.</t>
  </si>
  <si>
    <t>Monthly KPIs</t>
  </si>
  <si>
    <t>Values: revenue, orders, customers from the cleaned order table. Columns F-I are formulas.</t>
  </si>
  <si>
    <t>Month</t>
  </si>
  <si>
    <t>Revenue</t>
  </si>
  <si>
    <t>New customers</t>
  </si>
  <si>
    <t>AOV</t>
  </si>
  <si>
    <t>MoM %</t>
  </si>
  <si>
    <t>YoY %</t>
  </si>
  <si>
    <t>Running revenue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</si>
  <si>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</si>
  <si>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</si>
  <si>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</si>
  <si>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</si>
  <si>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</si>
  <si>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</si>
  <si>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</si>
  <si>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</si>
  <si>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</si>
  <si>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</si>
  <si>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</si>
  <si>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</si>
  <si>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</si>
  <si>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</si>
  <si>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</si>
  <si>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</si>
  <si>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</si>
  <si>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</si>
  <si>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</si>
  <si>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</si>
  <si>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Category performance</t>
  </si>
  <si>
    <t>Values: item revenue, items, freight by category. Share, rank, cumulative share and freight ratio are formulas.</t>
  </si>
  <si>
    <t>Category</t>
  </si>
  <si>
    <t>Items</t>
  </si>
  <si>
    <t>Freight</t>
  </si>
  <si>
    <t>Revenue share</t>
  </si>
  <si>
    <t>Rank</t>
  </si>
  <si>
    <t>Cumulative share</t>
  </si>
  <si>
    <t>Freight / revenue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</si>
  <si>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</si>
  <si>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</si>
  <si>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</si>
  <si>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</si>
  <si>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</si>
  <si>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</si>
  <si>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</si>
  <si>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</si>
  <si>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</si>
  <si>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</si>
  <si>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</si>
  <si>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</si>
  <si>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</si>
  <si>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</si>
  <si>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</si>
  <si>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</si>
  <si>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</si>
  <si>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</si>
  <si>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small_appliances</t>
  </si>
  <si>
    <t>musical_instruments</t>
  </si>
  <si>
    <t>unknown</t>
  </si>
  <si>
    <t>electronics</t>
  </si>
  <si>
    <t>fashion_bags_accessories</t>
  </si>
  <si>
    <t>consoles_games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</si>
  <si>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</si>
  <si>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</si>
  <si>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</si>
  <si>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</si>
  <si>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</si>
  <si>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</si>
  <si>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</si>
  <si>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home_confort</t>
  </si>
  <si>
    <t>fixed_telephony</t>
  </si>
  <si>
    <t>air_conditioning</t>
  </si>
  <si>
    <t>audio</t>
  </si>
  <si>
    <t>small_appliances_home_oven_and_coffee</t>
  </si>
  <si>
    <t>kitchen_dining_laundry_garden_furniture</t>
  </si>
  <si>
    <t>books_general_interest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</si>
  <si>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</si>
  <si>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</si>
  <si>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</si>
  <si>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</si>
  <si>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</si>
  <si>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</si>
  <si>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</si>
  <si>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</si>
  <si>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</si>
  <si>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</si>
  <si>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</si>
  <si>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</si>
  <si>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</si>
  <si>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</si>
  <si>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</si>
  <si>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</si>
  <si>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</si>
  <si>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</si>
  <si>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</si>
  <si>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</si>
  <si>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books_imported</t>
  </si>
  <si>
    <t>dvds_blu_ray</t>
  </si>
  <si>
    <t>party_supplies</t>
  </si>
  <si>
    <t>furniture_mattress_and_upholstery</t>
  </si>
  <si>
    <t>small_kitchen_appliances</t>
  </si>
  <si>
    <t>fashio_female_clothing</t>
  </si>
  <si>
    <t>fashion_sport</t>
  </si>
  <si>
    <t>la_cuisine</t>
  </si>
  <si>
    <t>arts_and_craftmanship</t>
  </si>
  <si>
    <t>diapers_and_hygiene</t>
  </si>
  <si>
    <t>pc_gamer</t>
  </si>
  <si>
    <t>flowers</t>
  </si>
  <si>
    <t>home_comfort_2</t>
  </si>
  <si>
    <t>cds_dvds_musicals</t>
  </si>
  <si>
    <t>fashion_childrens_clothes</t>
  </si>
  <si>
    <t>security_and_services</t>
  </si>
  <si>
    <t>Logistics and reviews by customer state</t>
  </si>
  <si>
    <t>Values: order, delivery and review sums by state. Rates and averages are formulas; F2 holds the national late rate.</t>
  </si>
  <si>
    <t>National late rate:</t>
  </si>
  <si>
    <t>State</t>
  </si>
  <si>
    <t>Delivered</t>
  </si>
  <si>
    <t>Late</t>
  </si>
  <si>
    <t>Delivery-day sum</t>
  </si>
  <si>
    <t>Review sum</t>
  </si>
  <si>
    <t>Reviews</t>
  </si>
  <si>
    <t>Late rate</t>
  </si>
  <si>
    <t>Avg delivery days</t>
  </si>
  <si>
    <t>Avg review</t>
  </si>
  <si>
    <t>vs national</t>
  </si>
  <si>
    <t>SP</t>
  </si>
  <si>
    <t>RJ</t>
  </si>
  <si>
    <t>MG</t>
  </si>
  <si>
    <t>RS</t>
  </si>
  <si>
    <t>PR</t>
  </si>
  <si>
    <t>SC</t>
  </si>
  <si>
    <t>BA</t>
  </si>
  <si>
    <t>DF</t>
  </si>
  <si>
    <t>ES</t>
  </si>
  <si>
    <t>GO</t>
  </si>
  <si>
    <t>PE</t>
  </si>
  <si>
    <t>CE</t>
  </si>
  <si>
    <t>PA</t>
  </si>
  <si>
    <t>MT</t>
  </si>
  <si>
    <t>MA</t>
  </si>
  <si>
    <t>MS</t>
  </si>
  <si>
    <t>PB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</si>
  <si>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</si>
  <si>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</si>
  <si>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</si>
  <si>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</si>
  <si>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</si>
  <si>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</si>
  <si>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</si>
  <si>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</si>
  <si>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</si>
  <si>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</si>
  <si>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RFM segments</t>
  </si>
  <si>
    <t>Values: customers and revenue per segment. Shares and averages are formulas.</t>
  </si>
  <si>
    <t>Segment</t>
  </si>
  <si>
    <t>Customer share</t>
  </si>
  <si>
    <t>Revenue per customer</t>
  </si>
  <si>
    <t>Repeat buyers?</t>
  </si>
  <si>
    <t>Promising</t>
  </si>
  <si>
    <t>No</t>
  </si>
  <si>
    <t>At-Risk</t>
  </si>
  <si>
    <t>Lost</t>
  </si>
  <si>
    <t>Hibernating</t>
  </si>
  <si>
    <t>New Customers</t>
  </si>
  <si>
    <t>Loyal</t>
  </si>
  <si>
    <t>Yes</t>
  </si>
  <si>
    <t>Champions</t>
  </si>
  <si>
    <t>Payment mix</t>
  </si>
  <si>
    <t>Values: orders and revenue by primary payment type. Share and AOV are formulas.</t>
  </si>
  <si>
    <t>Payment type</t>
  </si>
  <si>
    <t>Order share</t>
  </si>
  <si>
    <t>credit_card</t>
  </si>
  <si>
    <t>boleto</t>
  </si>
  <si>
    <t>voucher</t>
  </si>
  <si>
    <t>debit_card</t>
  </si>
  <si>
    <t>Growth actions: annual revenue impact</t>
  </si>
  <si>
    <t>Yellow cells are inputs (change them). Blue cells are base values from the analysis.</t>
  </si>
  <si>
    <t>Base values</t>
  </si>
  <si>
    <t>Annual new customers (2018 run-rate)</t>
  </si>
  <si>
    <t>Average repeat-order revenue (R$)</t>
  </si>
  <si>
    <t>Annual orders (2018 run-rate)</t>
  </si>
  <si>
    <t>Average add-on revenue per multi-item order (R$)</t>
  </si>
  <si>
    <t>Late orders avoided per year (target states to national rate)</t>
  </si>
  <si>
    <t>Repeat-rate gap, on-time vs late first order (pp)</t>
  </si>
  <si>
    <t>Annualised 2018 revenue (R$)</t>
  </si>
  <si>
    <t>Assumptions</t>
  </si>
  <si>
    <t>Repeat-rate lift from second-purchase programme (pp)</t>
  </si>
  <si>
    <t>Multi-item order share lift from cross-sell (pp)</t>
  </si>
  <si>
    <t>Results</t>
  </si>
  <si>
    <t>A1 Second-purchase programme (R$/yr)</t>
  </si>
  <si>
    <t>A2 Delivery fix in high-late states (R$/yr, via repeat rate)</t>
  </si>
  <si>
    <t>A3 Cross-sell to build baskets (R$/yr)</t>
  </si>
  <si>
    <t>Total (R$/yr)</t>
  </si>
  <si>
    <t>Total as % of annualised 2018 revenue</t>
  </si>
  <si>
    <t>Sensitivity: A1 revenue by repeat-rate lift</t>
  </si>
  <si>
    <t>Repeat-rate lift (pp)</t>
  </si>
  <si>
    <t>A1 revenue (R$/yr)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</si>
</sst>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R\$\ #,##0"/>
    <numFmt numFmtId="165" formatCode="\R\$\ #,##0.00"/>
    <numFmt numFmtId="166" formatCode="0.0%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1F2A44"/>
      <name val="Calibri"/>
    </font>
    <font>
      <i/>
      <sz val="9"/>
      <color rgb="FF52514E"/>
      <name val="Calibri"/>
    </font>
    <font>
      <b/>
      <sz val="11"/>
      <color rgb="FFFFFFFF"/>
      <name val="Calibri"/>
    </font>
    <font>
      <b/>
      <sz val="11"/>
      <color rgb="FF1F2A44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E8F1FC"/>
      </patternFill>
    </fill>
    <fill>
      <patternFill patternType="solid">
        <fgColor rgb="FFFFF4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3C2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164" fontId="6" fillId="0" borderId="1" xfId="0" applyNumberFormat="1" applyFont="1" applyBorder="1"/>
    <xf numFmtId="3" fontId="6" fillId="0" borderId="1" xfId="0" applyNumberFormat="1" applyFont="1" applyBorder="1"/>
    <xf numFmtId="165" fontId="6" fillId="0" borderId="1" xfId="0" applyNumberFormat="1" applyFont="1" applyBorder="1"/>
    <xf numFmtId="10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2" fontId="6" fillId="0" borderId="1" xfId="0" applyNumberFormat="1" applyFont="1" applyBorder="1"/>
    <xf numFmtId="0" fontId="7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2" fontId="0" fillId="0" borderId="0" xfId="0" applyNumberFormat="1"/>
    <xf numFmtId="0" fontId="4" fillId="0" borderId="0" xfId="0" applyFont="1"/>
    <xf numFmtId="3" fontId="0" fillId="3" borderId="0" xfId="0" applyNumberFormat="1" applyFill="1"/>
    <xf numFmtId="165" fontId="0" fillId="3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2" fontId="0" fillId="4" borderId="0" xfId="0" applyNumberFormat="1" applyFill="1"/>
    <xf numFmtId="164" fontId="5" fillId="0" borderId="0" xfId="0" applyNumberFormat="1" applyFont="1"/>
    <xf numFmtId="10" fontId="5" fillId="0" borderId="0" xfId="0" applyNumberFormat="1" applyFont="1"/>
  </cellXfs>
  <cellStyles count="1">
    <cellStyle name="Normal" xfId="0" builtinId="0"/>
  </cellStyles>
  <dxfs count="2">
    <dxf>
      <font>
        <color rgb="FF006300"/>
      </font>
    </dxf>
    <dxf>
      <font>
        <color rgb="FFD03B3B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revenue (R$)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Monthly!$B$4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Monthly!$A$5:$A$24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Monthly!$B$5:$B$24</c:f>
              <c:numCache>
                <c:formatCode>\R\$\ #,##0</c:formatCode>
                <c:ptCount val="20"/>
                <c:pt idx="0">
                  <c:v>120098.27</c:v>
                </c:pt>
                <c:pt idx="1">
                  <c:v>244959.35</c:v>
                </c:pt>
                <c:pt idx="2">
                  <c:v>368341.32</c:v>
                </c:pt>
                <c:pt idx="3">
                  <c:v>353842.98</c:v>
                </c:pt>
                <c:pt idx="4">
                  <c:v>503159.19</c:v>
                </c:pt>
                <c:pt idx="5">
                  <c:v>429916.61</c:v>
                </c:pt>
                <c:pt idx="6">
                  <c:v>492287.3</c:v>
                </c:pt>
                <c:pt idx="7">
                  <c:v>568245.79</c:v>
                </c:pt>
                <c:pt idx="8">
                  <c:v>621415.91</c:v>
                </c:pt>
                <c:pt idx="9">
                  <c:v>660179.62</c:v>
                </c:pt>
                <c:pt idx="10">
                  <c:v>1003862.14</c:v>
                </c:pt>
                <c:pt idx="11">
                  <c:v>742183.79</c:v>
                </c:pt>
                <c:pt idx="12">
                  <c:v>945456.29</c:v>
                </c:pt>
                <c:pt idx="13">
                  <c:v>837895.43</c:v>
                </c:pt>
                <c:pt idx="14">
                  <c:v>981051.06</c:v>
                </c:pt>
                <c:pt idx="15">
                  <c:v>993592.98</c:v>
                </c:pt>
                <c:pt idx="16">
                  <c:v>992871.75</c:v>
                </c:pt>
                <c:pt idx="17">
                  <c:v>863265.53</c:v>
                </c:pt>
                <c:pt idx="18">
                  <c:v>878044.27</c:v>
                </c:pt>
                <c:pt idx="19">
                  <c:v>848860.1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9D-4926-9709-4ECD9F5BA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15 categories by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Category!$B$4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Category!$A$5:$A$19</c:f>
              <c:strCache>
                <c:ptCount val="15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garden_tools</c:v>
                </c:pt>
                <c:pt idx="10">
                  <c:v>toys</c:v>
                </c:pt>
                <c:pt idx="11">
                  <c:v>baby</c:v>
                </c:pt>
                <c:pt idx="12">
                  <c:v>perfumery</c:v>
                </c:pt>
                <c:pt idx="13">
                  <c:v>telephony</c:v>
                </c:pt>
                <c:pt idx="14">
                  <c:v>office_furniture</c:v>
                </c:pt>
              </c:strCache>
            </c:strRef>
          </c:cat>
          <c:val>
            <c:numRef>
              <c:f>Category!$B$5:$B$19</c:f>
              <c:numCache>
                <c:formatCode>\R\$\ #,##0</c:formatCode>
                <c:ptCount val="15"/>
                <c:pt idx="0">
                  <c:v>1251145.54</c:v>
                </c:pt>
                <c:pt idx="1">
                  <c:v>1194824.97</c:v>
                </c:pt>
                <c:pt idx="2">
                  <c:v>1035485.07</c:v>
                </c:pt>
                <c:pt idx="3">
                  <c:v>977728.77</c:v>
                </c:pt>
                <c:pt idx="4">
                  <c:v>902922.7</c:v>
                </c:pt>
                <c:pt idx="5">
                  <c:v>721584.27</c:v>
                </c:pt>
                <c:pt idx="6">
                  <c:v>625538.73</c:v>
                </c:pt>
                <c:pt idx="7">
                  <c:v>619724.39</c:v>
                </c:pt>
                <c:pt idx="8">
                  <c:v>585177.48</c:v>
                </c:pt>
                <c:pt idx="9">
                  <c:v>479650.06</c:v>
                </c:pt>
                <c:pt idx="10">
                  <c:v>475702.04</c:v>
                </c:pt>
                <c:pt idx="11">
                  <c:v>408941.03</c:v>
                </c:pt>
                <c:pt idx="12">
                  <c:v>391770.21</c:v>
                </c:pt>
                <c:pt idx="13">
                  <c:v>322082.46000000002</c:v>
                </c:pt>
                <c:pt idx="14">
                  <c:v>272279.82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B-410F-A415-CA3AEA9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Customer share vs revenue share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RFM!$D$4</c:f>
              <c:strCache>
                <c:ptCount val="1"/>
                <c:pt idx="0">
                  <c:v>Customer share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RFM!$A$5:$A$11</c:f>
              <c:strCache>
                <c:ptCount val="7"/>
                <c:pt idx="0">
                  <c:v>Promising</c:v>
                </c:pt>
                <c:pt idx="1">
                  <c:v>At-Risk</c:v>
                </c:pt>
                <c:pt idx="2">
                  <c:v>Lost</c:v>
                </c:pt>
                <c:pt idx="3">
                  <c:v>Hibernating</c:v>
                </c:pt>
                <c:pt idx="4">
                  <c:v>New Customers</c:v>
                </c:pt>
                <c:pt idx="5">
                  <c:v>Loyal</c:v>
                </c:pt>
                <c:pt idx="6">
                  <c:v>Champions</c:v>
                </c:pt>
              </c:strCache>
            </c:strRef>
          </c:cat>
          <c:val>
            <c:numRef>
              <c:f>RFM!$D$5:$D$11</c:f>
              <c:numCache>
                <c:formatCode>0.0%</c:formatCode>
                <c:ptCount val="7"/>
                <c:pt idx="0">
                  <c:v>0.15503204755921143</c:v>
                </c:pt>
                <c:pt idx="1">
                  <c:v>0.14885484092372997</c:v>
                </c:pt>
                <c:pt idx="2">
                  <c:v>0.19521028900879592</c:v>
                </c:pt>
                <c:pt idx="3">
                  <c:v>0.23853521007782225</c:v>
                </c:pt>
                <c:pt idx="4">
                  <c:v>0.23202010495971617</c:v>
                </c:pt>
                <c:pt idx="5">
                  <c:v>1.7412331182750283E-2</c:v>
                </c:pt>
                <c:pt idx="6">
                  <c:v>1.2935176287973981E-2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7-4281-9124-C1E763CF73D4}"/>
            </c:ext>
          </c:extLst>
        </c:ser>
        <c:ser>
          <c:idx val="1"/>
          <c:order val="1"/>
          <c:tx>
            <c:strRef>
              <c:f>RFM!$E$4</c:f>
              <c:strCache>
                <c:ptCount val="1"/>
                <c:pt idx="0">
                  <c:v>Revenue share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RFM!$A$5:$A$11</c:f>
              <c:strCache>
                <c:ptCount val="7"/>
                <c:pt idx="0">
                  <c:v>Promising</c:v>
                </c:pt>
                <c:pt idx="1">
                  <c:v>At-Risk</c:v>
                </c:pt>
                <c:pt idx="2">
                  <c:v>Lost</c:v>
                </c:pt>
                <c:pt idx="3">
                  <c:v>Hibernating</c:v>
                </c:pt>
                <c:pt idx="4">
                  <c:v>New Customers</c:v>
                </c:pt>
                <c:pt idx="5">
                  <c:v>Loyal</c:v>
                </c:pt>
                <c:pt idx="6">
                  <c:v>Champions</c:v>
                </c:pt>
              </c:strCache>
            </c:strRef>
          </c:cat>
          <c:val>
            <c:numRef>
              <c:f>RFM!$E$5:$E$11</c:f>
              <c:numCache>
                <c:formatCode>0.0%</c:formatCode>
                <c:ptCount val="7"/>
                <c:pt idx="0">
                  <c:v>0.29252779329100059</c:v>
                </c:pt>
                <c:pt idx="1">
                  <c:v>0.27682707284738445</c:v>
                </c:pt>
                <c:pt idx="2">
                  <c:v>0.19039517794419633</c:v>
                </c:pt>
                <c:pt idx="3">
                  <c:v>9.3839005805672032E-2</c:v>
                </c:pt>
                <c:pt idx="4">
                  <c:v>9.0860681647197128E-2</c:v>
                </c:pt>
                <c:pt idx="5">
                  <c:v>3.0952531518804095E-2</c:v>
                </c:pt>
                <c:pt idx="6">
                  <c:v>2.4597736945745276E-2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7-4281-9124-C1E763CF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A1 revenue by repeat-rate lift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'Impact model'!$B$25</c:f>
              <c:strCache>
                <c:ptCount val="1"/>
                <c:pt idx="0">
                  <c:v>A1 revenue (R$/yr)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'Impact model'!$A$26:$A$31</c:f>
              <c:numCache>
                <c:formatCode>0.00</c:formatCode>
                <c:ptCount val="6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</c:numCache>
            </c:numRef>
          </c:cat>
          <c:val>
            <c:numRef>
              <c:f>'Impact model'!$B$26:$B$31</c:f>
              <c:numCache>
                <c:formatCode>\R\$\ #,##0</c:formatCode>
                <c:ptCount val="6"/>
                <c:pt idx="0">
                  <c:v>47528.376532999995</c:v>
                </c:pt>
                <c:pt idx="1">
                  <c:v>95056.75306599999</c:v>
                </c:pt>
                <c:pt idx="2">
                  <c:v>142585.12959899998</c:v>
                </c:pt>
                <c:pt idx="3">
                  <c:v>190113.50613199998</c:v>
                </c:pt>
                <c:pt idx="4">
                  <c:v>237641.88266499998</c:v>
                </c:pt>
                <c:pt idx="5">
                  <c:v>285170.25919799996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9-4332-9620-4FB761F74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R\$\ 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tabSelected="1" workbookViewId="0"/>
  </sheetViews>
  <sheetFormatPr defaultRowHeight="14.4" x14ac:dyDescent="0.3"/>
  <cols>
    <col min="1" max="1" width="44" customWidth="1"/>
    <col min="2" max="2" width="18" customWidth="1"/>
  </cols>
  <sheetData>
    <row r="1" spans="1:2" ht="18" x14ac:dyDescent="0.35">
      <c r="A1" s="1" t="s">
        <v>0</v>
      </c>
    </row>
    <row r="2" spans="1:2" x14ac:dyDescent="0.3">
      <c r="A2" s="2" t="s">
        <v>1</v>
      </c>
    </row>
    <row r="4" spans="1:2" ht="30" customHeight="1" x14ac:dyDescent="0.3">
      <c r="A4" s="3" t="s">
        <v>2</v>
      </c>
      <c r="B4" s="3" t="s">
        <v>3</v>
      </c>
    </row>
    <row r="5" spans="1:2" ht="15.6" x14ac:dyDescent="0.3">
      <c r="A5" s="4" t="s">
        <v>4</v>
      </c>
      <c r="B5" s="5">
        <f>SUM(Monthly!B5:B24)</f>
        <v>13449529.679999998</v>
      </c>
    </row>
    <row r="6" spans="1:2" ht="15.6" x14ac:dyDescent="0.3">
      <c r="A6" s="4" t="s">
        <v>5</v>
      </c>
      <c r="B6" s="6">
        <f>SUM(Monthly!C5:C24)</f>
        <v>97905</v>
      </c>
    </row>
    <row r="7" spans="1:2" ht="15.6" x14ac:dyDescent="0.3">
      <c r="A7" s="4" t="s">
        <v>6</v>
      </c>
      <c r="B7" s="7">
        <f>B5/B6</f>
        <v>137.37326673816452</v>
      </c>
    </row>
    <row r="8" spans="1:2" ht="15.6" x14ac:dyDescent="0.3">
      <c r="A8" s="4" t="s">
        <v>7</v>
      </c>
      <c r="B8" s="6">
        <f>SUM(RFM!B5:B11)</f>
        <v>94703</v>
      </c>
    </row>
    <row r="9" spans="1:2" ht="15.6" x14ac:dyDescent="0.3">
      <c r="A9" s="4" t="s">
        <v>8</v>
      </c>
      <c r="B9" s="8">
        <f>SUMIF(RFM!G5:G11,"Yes",RFM!B5:B11)/B8</f>
        <v>3.0347507470724264E-2</v>
      </c>
    </row>
    <row r="10" spans="1:2" ht="15.6" x14ac:dyDescent="0.3">
      <c r="A10" s="4" t="s">
        <v>9</v>
      </c>
      <c r="B10" s="9">
        <f>1-SUM(Region!E5:E31)/SUM(Region!D5:D31)</f>
        <v>0.93211230419009805</v>
      </c>
    </row>
    <row r="11" spans="1:2" ht="15.6" x14ac:dyDescent="0.3">
      <c r="A11" s="4" t="s">
        <v>10</v>
      </c>
      <c r="B11" s="10">
        <f>SUM(Region!F5:F31)/SUM(Region!D5:D31)</f>
        <v>12.538460850493228</v>
      </c>
    </row>
    <row r="12" spans="1:2" ht="15.6" x14ac:dyDescent="0.3">
      <c r="A12" s="4" t="s">
        <v>11</v>
      </c>
      <c r="B12" s="11">
        <f>SUM(Region!G5:G31)/SUM(Region!H5:H31)</f>
        <v>4.117320792772027</v>
      </c>
    </row>
    <row r="13" spans="1:2" ht="15.6" x14ac:dyDescent="0.3">
      <c r="A13" s="4" t="s">
        <v>12</v>
      </c>
      <c r="B13" s="9">
        <f>SUM(Monthly!B17:B24)/SUM(Monthly!B5:B12)-1</f>
        <v>1.3827954882372255</v>
      </c>
    </row>
    <row r="14" spans="1:2" ht="15.6" x14ac:dyDescent="0.3">
      <c r="A14" s="4" t="s">
        <v>13</v>
      </c>
      <c r="B14" s="9">
        <f>SUMIF(Category!F5:F78,"&lt;=10",Category!E5:E78)</f>
        <v>0.62409483303210933</v>
      </c>
    </row>
    <row r="15" spans="1:2" ht="15.6" x14ac:dyDescent="0.3">
      <c r="A15" s="4" t="s">
        <v>14</v>
      </c>
      <c r="B15" s="5">
        <f>'Impact model'!B20</f>
        <v>274690.23995825474</v>
      </c>
    </row>
    <row r="17" spans="1:1" x14ac:dyDescent="0.3">
      <c r="A17" s="1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10" customWidth="1"/>
    <col min="4" max="4" width="11" customWidth="1"/>
    <col min="5" max="5" width="13" customWidth="1"/>
    <col min="6" max="6" width="11" customWidth="1"/>
    <col min="7" max="8" width="9" customWidth="1"/>
    <col min="9" max="9" width="16" customWidth="1"/>
  </cols>
  <sheetData>
    <row r="1" spans="1:9" ht="18" x14ac:dyDescent="0.35">
      <c r="A1" s="1" t="s">
        <v>16</v>
      </c>
    </row>
    <row r="2" spans="1:9" x14ac:dyDescent="0.3">
      <c r="A2" s="2" t="s">
        <v>17</v>
      </c>
    </row>
    <row r="4" spans="1:9" ht="30" customHeight="1" x14ac:dyDescent="0.3">
      <c r="A4" s="3" t="s">
        <v>18</v>
      </c>
      <c r="B4" s="3" t="s">
        <v>19</v>
      </c>
      <c r="C4" s="3" t="s">
        <v>5</v>
      </c>
      <c r="D4" s="3" t="s">
        <v>7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</row>
    <row r="5" spans="1:9" x14ac:dyDescent="0.3">
      <c r="A5" t="s">
        <v>25</v>
      </c>
      <c r="B5" s="13">
        <v>120098.27</v>
      </c>
      <c r="C5" s="14">
        <v>787</v>
      </c>
      <c r="D5" s="14">
        <v>753</v>
      </c>
      <c r="E5" s="14">
        <v>753</v>
      </c>
      <c r="F5" s="15">
        <f t="shared" ref="F5:F24" si="0">B5/C5</f>
        <v>152.60263024142313</v>
      </c>
      <c r="G5" s="16"/>
      <c r="H5" s="16"/>
      <c r="I5" s="13">
        <f>SUM($B$5:B5)</f>
        <v>120098.27</v>
      </c>
    </row>
    <row r="6" spans="1:9" x14ac:dyDescent="0.3">
      <c r="A6" t="s">
        <v>26</v>
      </c>
      <c r="B6" s="13">
        <v>244959.35</v>
      </c>
      <c r="C6" s="14">
        <v>1718</v>
      </c>
      <c r="D6" s="14">
        <v>1693</v>
      </c>
      <c r="E6" s="14">
        <v>1690</v>
      </c>
      <c r="F6" s="15">
        <f t="shared" si="0"/>
        <v>142.58402211874272</v>
      </c>
      <c r="G6" s="16">
        <f t="shared" ref="G6:G24" si="1">B6/B5-1</f>
        <v>1.0396576070579533</v>
      </c>
      <c r="H6" s="16"/>
      <c r="I6" s="13">
        <f>SUM($B$5:B6)</f>
        <v>365057.62</v>
      </c>
    </row>
    <row r="7" spans="1:9" x14ac:dyDescent="0.3">
      <c r="A7" t="s">
        <v>27</v>
      </c>
      <c r="B7" s="13">
        <v>368341.32</v>
      </c>
      <c r="C7" s="14">
        <v>2617</v>
      </c>
      <c r="D7" s="14">
        <v>2577</v>
      </c>
      <c r="E7" s="14">
        <v>2571</v>
      </c>
      <c r="F7" s="15">
        <f t="shared" si="0"/>
        <v>140.74945357279327</v>
      </c>
      <c r="G7" s="16">
        <f t="shared" si="1"/>
        <v>0.50368344788635344</v>
      </c>
      <c r="H7" s="16"/>
      <c r="I7" s="13">
        <f>SUM($B$5:B7)</f>
        <v>733398.94</v>
      </c>
    </row>
    <row r="8" spans="1:9" x14ac:dyDescent="0.3">
      <c r="A8" t="s">
        <v>28</v>
      </c>
      <c r="B8" s="13">
        <v>353842.98</v>
      </c>
      <c r="C8" s="14">
        <v>2377</v>
      </c>
      <c r="D8" s="14">
        <v>2345</v>
      </c>
      <c r="E8" s="14">
        <v>2326</v>
      </c>
      <c r="F8" s="15">
        <f t="shared" si="0"/>
        <v>148.8611611274716</v>
      </c>
      <c r="G8" s="16">
        <f t="shared" si="1"/>
        <v>-3.9361155571685624E-2</v>
      </c>
      <c r="H8" s="16"/>
      <c r="I8" s="13">
        <f>SUM($B$5:B8)</f>
        <v>1087241.92</v>
      </c>
    </row>
    <row r="9" spans="1:9" x14ac:dyDescent="0.3">
      <c r="A9" t="s">
        <v>29</v>
      </c>
      <c r="B9" s="13">
        <v>503159.19</v>
      </c>
      <c r="C9" s="14">
        <v>3640</v>
      </c>
      <c r="D9" s="14">
        <v>3569</v>
      </c>
      <c r="E9" s="14">
        <v>3541</v>
      </c>
      <c r="F9" s="15">
        <f t="shared" si="0"/>
        <v>138.23054670329671</v>
      </c>
      <c r="G9" s="16">
        <f t="shared" si="1"/>
        <v>0.42198437849466464</v>
      </c>
      <c r="H9" s="16"/>
      <c r="I9" s="13">
        <f>SUM($B$5:B9)</f>
        <v>1590401.1099999999</v>
      </c>
    </row>
    <row r="10" spans="1:9" x14ac:dyDescent="0.3">
      <c r="A10" t="s">
        <v>30</v>
      </c>
      <c r="B10" s="13">
        <v>429916.61</v>
      </c>
      <c r="C10" s="14">
        <v>3205</v>
      </c>
      <c r="D10" s="14">
        <v>3142</v>
      </c>
      <c r="E10" s="14">
        <v>3102</v>
      </c>
      <c r="F10" s="15">
        <f t="shared" si="0"/>
        <v>134.13934789391575</v>
      </c>
      <c r="G10" s="16">
        <f t="shared" si="1"/>
        <v>-0.14556542234675274</v>
      </c>
      <c r="H10" s="16"/>
      <c r="I10" s="13">
        <f>SUM($B$5:B10)</f>
        <v>2020317.7199999997</v>
      </c>
    </row>
    <row r="11" spans="1:9" x14ac:dyDescent="0.3">
      <c r="A11" t="s">
        <v>31</v>
      </c>
      <c r="B11" s="13">
        <v>492287.3</v>
      </c>
      <c r="C11" s="14">
        <v>3946</v>
      </c>
      <c r="D11" s="14">
        <v>3872</v>
      </c>
      <c r="E11" s="14">
        <v>3823</v>
      </c>
      <c r="F11" s="15">
        <f t="shared" si="0"/>
        <v>124.75603142422706</v>
      </c>
      <c r="G11" s="16">
        <f t="shared" si="1"/>
        <v>0.14507625095015531</v>
      </c>
      <c r="H11" s="16"/>
      <c r="I11" s="13">
        <f>SUM($B$5:B11)</f>
        <v>2512605.0199999996</v>
      </c>
    </row>
    <row r="12" spans="1:9" x14ac:dyDescent="0.3">
      <c r="A12" t="s">
        <v>32</v>
      </c>
      <c r="B12" s="13">
        <v>568245.79</v>
      </c>
      <c r="C12" s="14">
        <v>4272</v>
      </c>
      <c r="D12" s="14">
        <v>4191</v>
      </c>
      <c r="E12" s="14">
        <v>4130</v>
      </c>
      <c r="F12" s="15">
        <f t="shared" si="0"/>
        <v>133.01633661048689</v>
      </c>
      <c r="G12" s="16">
        <f t="shared" si="1"/>
        <v>0.15429707408661586</v>
      </c>
      <c r="H12" s="16"/>
      <c r="I12" s="13">
        <f>SUM($B$5:B12)</f>
        <v>3080850.8099999996</v>
      </c>
    </row>
    <row r="13" spans="1:9" x14ac:dyDescent="0.3">
      <c r="A13" t="s">
        <v>33</v>
      </c>
      <c r="B13" s="13">
        <v>621415.91</v>
      </c>
      <c r="C13" s="14">
        <v>4227</v>
      </c>
      <c r="D13" s="14">
        <v>4154</v>
      </c>
      <c r="E13" s="14">
        <v>4076</v>
      </c>
      <c r="F13" s="15">
        <f t="shared" si="0"/>
        <v>147.01109770522831</v>
      </c>
      <c r="G13" s="16">
        <f t="shared" si="1"/>
        <v>9.3568876242796195E-2</v>
      </c>
      <c r="H13" s="16"/>
      <c r="I13" s="13">
        <f>SUM($B$5:B13)</f>
        <v>3702266.7199999997</v>
      </c>
    </row>
    <row r="14" spans="1:9" x14ac:dyDescent="0.3">
      <c r="A14" t="s">
        <v>34</v>
      </c>
      <c r="B14" s="13">
        <v>660179.62</v>
      </c>
      <c r="C14" s="14">
        <v>4547</v>
      </c>
      <c r="D14" s="14">
        <v>4481</v>
      </c>
      <c r="E14" s="14">
        <v>4392</v>
      </c>
      <c r="F14" s="15">
        <f t="shared" si="0"/>
        <v>145.19015174840555</v>
      </c>
      <c r="G14" s="16">
        <f t="shared" si="1"/>
        <v>6.237965487558883E-2</v>
      </c>
      <c r="H14" s="16"/>
      <c r="I14" s="13">
        <f>SUM($B$5:B14)</f>
        <v>4362446.34</v>
      </c>
    </row>
    <row r="15" spans="1:9" x14ac:dyDescent="0.3">
      <c r="A15" t="s">
        <v>35</v>
      </c>
      <c r="B15" s="13">
        <v>1003862.14</v>
      </c>
      <c r="C15" s="14">
        <v>7421</v>
      </c>
      <c r="D15" s="14">
        <v>7313</v>
      </c>
      <c r="E15" s="14">
        <v>7189</v>
      </c>
      <c r="F15" s="15">
        <f t="shared" si="0"/>
        <v>135.2731626465436</v>
      </c>
      <c r="G15" s="16">
        <f t="shared" si="1"/>
        <v>0.52058941171192163</v>
      </c>
      <c r="H15" s="16"/>
      <c r="I15" s="13">
        <f>SUM($B$5:B15)</f>
        <v>5366308.4799999995</v>
      </c>
    </row>
    <row r="16" spans="1:9" x14ac:dyDescent="0.3">
      <c r="A16" t="s">
        <v>36</v>
      </c>
      <c r="B16" s="13">
        <v>742183.79</v>
      </c>
      <c r="C16" s="14">
        <v>5618</v>
      </c>
      <c r="D16" s="14">
        <v>5551</v>
      </c>
      <c r="E16" s="14">
        <v>5437</v>
      </c>
      <c r="F16" s="15">
        <f t="shared" si="0"/>
        <v>132.10818618725526</v>
      </c>
      <c r="G16" s="16">
        <f t="shared" si="1"/>
        <v>-0.26067159978759635</v>
      </c>
      <c r="H16" s="16"/>
      <c r="I16" s="13">
        <f>SUM($B$5:B16)</f>
        <v>6108492.2699999996</v>
      </c>
    </row>
    <row r="17" spans="1:9" x14ac:dyDescent="0.3">
      <c r="A17" t="s">
        <v>37</v>
      </c>
      <c r="B17" s="13">
        <v>945456.29</v>
      </c>
      <c r="C17" s="14">
        <v>7187</v>
      </c>
      <c r="D17" s="14">
        <v>7088</v>
      </c>
      <c r="E17" s="14">
        <v>6952</v>
      </c>
      <c r="F17" s="15">
        <f t="shared" si="0"/>
        <v>131.55089606233477</v>
      </c>
      <c r="G17" s="16">
        <f t="shared" si="1"/>
        <v>0.2738843164440441</v>
      </c>
      <c r="H17" s="16">
        <f t="shared" ref="H17:H24" si="2">B17/B5-1</f>
        <v>6.8723556134488861</v>
      </c>
      <c r="I17" s="13">
        <f>SUM($B$5:B17)</f>
        <v>7053948.5599999996</v>
      </c>
    </row>
    <row r="18" spans="1:9" x14ac:dyDescent="0.3">
      <c r="A18" t="s">
        <v>38</v>
      </c>
      <c r="B18" s="13">
        <v>837895.43</v>
      </c>
      <c r="C18" s="14">
        <v>6624</v>
      </c>
      <c r="D18" s="14">
        <v>6468</v>
      </c>
      <c r="E18" s="14">
        <v>6356</v>
      </c>
      <c r="F18" s="15">
        <f t="shared" si="0"/>
        <v>126.49387530193238</v>
      </c>
      <c r="G18" s="16">
        <f t="shared" si="1"/>
        <v>-0.11376608431046553</v>
      </c>
      <c r="H18" s="16">
        <f t="shared" si="2"/>
        <v>2.4205488788241807</v>
      </c>
      <c r="I18" s="13">
        <f>SUM($B$5:B18)</f>
        <v>7891843.9899999993</v>
      </c>
    </row>
    <row r="19" spans="1:9" x14ac:dyDescent="0.3">
      <c r="A19" t="s">
        <v>39</v>
      </c>
      <c r="B19" s="13">
        <v>981051.06</v>
      </c>
      <c r="C19" s="14">
        <v>7168</v>
      </c>
      <c r="D19" s="14">
        <v>7077</v>
      </c>
      <c r="E19" s="14">
        <v>6932</v>
      </c>
      <c r="F19" s="15">
        <f t="shared" si="0"/>
        <v>136.86538225446429</v>
      </c>
      <c r="G19" s="16">
        <f t="shared" si="1"/>
        <v>0.17085142712856194</v>
      </c>
      <c r="H19" s="16">
        <f t="shared" si="2"/>
        <v>1.663429288899763</v>
      </c>
      <c r="I19" s="13">
        <f>SUM($B$5:B19)</f>
        <v>8872895.0499999989</v>
      </c>
    </row>
    <row r="20" spans="1:9" x14ac:dyDescent="0.3">
      <c r="A20" t="s">
        <v>40</v>
      </c>
      <c r="B20" s="13">
        <v>993592.98</v>
      </c>
      <c r="C20" s="14">
        <v>6919</v>
      </c>
      <c r="D20" s="14">
        <v>6863</v>
      </c>
      <c r="E20" s="14">
        <v>6698</v>
      </c>
      <c r="F20" s="15">
        <f t="shared" si="0"/>
        <v>143.60355253649371</v>
      </c>
      <c r="G20" s="16">
        <f t="shared" si="1"/>
        <v>1.2784166402103336E-2</v>
      </c>
      <c r="H20" s="16">
        <f t="shared" si="2"/>
        <v>1.80800534745666</v>
      </c>
      <c r="I20" s="13">
        <f>SUM($B$5:B20)</f>
        <v>9866488.0299999993</v>
      </c>
    </row>
    <row r="21" spans="1:9" x14ac:dyDescent="0.3">
      <c r="A21" t="s">
        <v>41</v>
      </c>
      <c r="B21" s="13">
        <v>992871.75</v>
      </c>
      <c r="C21" s="14">
        <v>6833</v>
      </c>
      <c r="D21" s="14">
        <v>6775</v>
      </c>
      <c r="E21" s="14">
        <v>6588</v>
      </c>
      <c r="F21" s="15">
        <f t="shared" si="0"/>
        <v>145.30539294599737</v>
      </c>
      <c r="G21" s="16">
        <f t="shared" si="1"/>
        <v>-7.2588073236989903E-4</v>
      </c>
      <c r="H21" s="16">
        <f t="shared" si="2"/>
        <v>0.97327559494640248</v>
      </c>
      <c r="I21" s="13">
        <f>SUM($B$5:B21)</f>
        <v>10859359.779999999</v>
      </c>
    </row>
    <row r="22" spans="1:9" x14ac:dyDescent="0.3">
      <c r="A22" t="s">
        <v>42</v>
      </c>
      <c r="B22" s="13">
        <v>863265.53</v>
      </c>
      <c r="C22" s="14">
        <v>6145</v>
      </c>
      <c r="D22" s="14">
        <v>6106</v>
      </c>
      <c r="E22" s="14">
        <v>5921</v>
      </c>
      <c r="F22" s="15">
        <f t="shared" si="0"/>
        <v>140.4825923515053</v>
      </c>
      <c r="G22" s="16">
        <f t="shared" si="1"/>
        <v>-0.13053671836266867</v>
      </c>
      <c r="H22" s="16">
        <f t="shared" si="2"/>
        <v>1.0079836645529934</v>
      </c>
      <c r="I22" s="13">
        <f>SUM($B$5:B22)</f>
        <v>11722625.309999999</v>
      </c>
    </row>
    <row r="23" spans="1:9" x14ac:dyDescent="0.3">
      <c r="A23" t="s">
        <v>43</v>
      </c>
      <c r="B23" s="13">
        <v>878044.27</v>
      </c>
      <c r="C23" s="14">
        <v>6233</v>
      </c>
      <c r="D23" s="14">
        <v>6172</v>
      </c>
      <c r="E23" s="14">
        <v>6017</v>
      </c>
      <c r="F23" s="15">
        <f t="shared" si="0"/>
        <v>140.87025028076368</v>
      </c>
      <c r="G23" s="16">
        <f t="shared" si="1"/>
        <v>1.7119576174899453E-2</v>
      </c>
      <c r="H23" s="16">
        <f t="shared" si="2"/>
        <v>0.78360130354774538</v>
      </c>
      <c r="I23" s="13">
        <f>SUM($B$5:B23)</f>
        <v>12600669.579999998</v>
      </c>
    </row>
    <row r="24" spans="1:9" x14ac:dyDescent="0.3">
      <c r="A24" t="s">
        <v>44</v>
      </c>
      <c r="B24" s="13">
        <v>848860.1</v>
      </c>
      <c r="C24" s="14">
        <v>6421</v>
      </c>
      <c r="D24" s="14">
        <v>6380</v>
      </c>
      <c r="E24" s="14">
        <v>6209</v>
      </c>
      <c r="F24" s="15">
        <f t="shared" si="0"/>
        <v>132.20060738202773</v>
      </c>
      <c r="G24" s="16">
        <f t="shared" si="1"/>
        <v>-3.3237697684651013E-2</v>
      </c>
      <c r="H24" s="16">
        <f t="shared" si="2"/>
        <v>0.49382558557978928</v>
      </c>
      <c r="I24" s="13">
        <f>SUM($B$5:B24)</f>
        <v>13449529.679999998</v>
      </c>
    </row>
  </sheetData>
  <conditionalFormatting sqref="B5:B24">
    <cfRule type="dataBar" priority="3">
      <dataBar>
        <cfvo type="min"/>
        <cfvo type="max"/>
        <color rgb="FF2A78D6"/>
      </dataBar>
    </cfRule>
  </conditionalFormatting>
  <conditionalFormatting sqref="G6:H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8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34" customWidth="1"/>
    <col min="2" max="2" width="14" customWidth="1"/>
    <col min="3" max="3" width="9" customWidth="1"/>
    <col min="4" max="4" width="13" customWidth="1"/>
    <col min="5" max="5" width="12" customWidth="1"/>
    <col min="6" max="6" width="7" customWidth="1"/>
    <col min="7" max="8" width="13" customWidth="1"/>
  </cols>
  <sheetData>
    <row r="1" spans="1:8" ht="18" x14ac:dyDescent="0.35">
      <c r="A1" s="1" t="s">
        <v>45</v>
      </c>
    </row>
    <row r="2" spans="1:8" x14ac:dyDescent="0.3">
      <c r="A2" s="2" t="s">
        <v>46</v>
      </c>
    </row>
    <row r="4" spans="1:8" ht="30" customHeight="1" x14ac:dyDescent="0.3">
      <c r="A4" s="3" t="s">
        <v>47</v>
      </c>
      <c r="B4" s="3" t="s">
        <v>19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</row>
    <row r="5" spans="1:8" x14ac:dyDescent="0.3">
      <c r="A5" t="s">
        <v>54</v>
      </c>
      <c r="B5" s="13">
        <v>1251145.54</v>
      </c>
      <c r="C5" s="14">
        <v>9585</v>
      </c>
      <c r="D5" s="13">
        <v>181067.84</v>
      </c>
      <c r="E5" s="17">
        <f t="shared" ref="E5:E36" si="0">B5/SUM($B$5:$B$78)</f>
        <v>9.3025226143075068E-2</v>
      </c>
      <c r="F5">
        <f t="shared" ref="F5:F36" si="1">RANK(B5,$B$5:$B$78)</f>
        <v>1</v>
      </c>
      <c r="G5" s="16">
        <f>SUM($B$5:B5)/SUM($B$5:$B$78)</f>
        <v>9.3025226143075068E-2</v>
      </c>
      <c r="H5" s="16">
        <f t="shared" ref="H5:H36" si="2">D5/B5</f>
        <v>0.14472164445392979</v>
      </c>
    </row>
    <row r="6" spans="1:8" x14ac:dyDescent="0.3">
      <c r="A6" t="s">
        <v>55</v>
      </c>
      <c r="B6" s="13">
        <v>1194824.97</v>
      </c>
      <c r="C6" s="14">
        <v>5965</v>
      </c>
      <c r="D6" s="13">
        <v>99999.46</v>
      </c>
      <c r="E6" s="17">
        <f t="shared" si="0"/>
        <v>8.8837676738745264E-2</v>
      </c>
      <c r="F6">
        <f t="shared" si="1"/>
        <v>2</v>
      </c>
      <c r="G6" s="16">
        <f>SUM($B$5:B6)/SUM($B$5:$B$78)</f>
        <v>0.1818629028818203</v>
      </c>
      <c r="H6" s="16">
        <f t="shared" si="2"/>
        <v>8.3693815002878633E-2</v>
      </c>
    </row>
    <row r="7" spans="1:8" x14ac:dyDescent="0.3">
      <c r="A7" t="s">
        <v>56</v>
      </c>
      <c r="B7" s="13">
        <v>1035485.07</v>
      </c>
      <c r="C7" s="14">
        <v>11089</v>
      </c>
      <c r="D7" s="13">
        <v>204294.48</v>
      </c>
      <c r="E7" s="17">
        <f t="shared" si="0"/>
        <v>7.6990429750105574E-2</v>
      </c>
      <c r="F7">
        <f t="shared" si="1"/>
        <v>3</v>
      </c>
      <c r="G7" s="16">
        <f>SUM($B$5:B7)/SUM($B$5:$B$78)</f>
        <v>0.25885333263192589</v>
      </c>
      <c r="H7" s="16">
        <f t="shared" si="2"/>
        <v>0.19729350612462238</v>
      </c>
    </row>
    <row r="8" spans="1:8" x14ac:dyDescent="0.3">
      <c r="A8" t="s">
        <v>57</v>
      </c>
      <c r="B8" s="13">
        <v>977728.77</v>
      </c>
      <c r="C8" s="14">
        <v>8573</v>
      </c>
      <c r="D8" s="13">
        <v>167025.1</v>
      </c>
      <c r="E8" s="17">
        <f t="shared" si="0"/>
        <v>7.2696130888050506E-2</v>
      </c>
      <c r="F8">
        <f t="shared" si="1"/>
        <v>4</v>
      </c>
      <c r="G8" s="16">
        <f>SUM($B$5:B8)/SUM($B$5:$B$78)</f>
        <v>0.33154946351997638</v>
      </c>
      <c r="H8" s="16">
        <f t="shared" si="2"/>
        <v>0.17082968725569975</v>
      </c>
    </row>
    <row r="9" spans="1:8" x14ac:dyDescent="0.3">
      <c r="A9" t="s">
        <v>58</v>
      </c>
      <c r="B9" s="13">
        <v>902922.7</v>
      </c>
      <c r="C9" s="14">
        <v>7760</v>
      </c>
      <c r="D9" s="13">
        <v>146278.79</v>
      </c>
      <c r="E9" s="17">
        <f t="shared" si="0"/>
        <v>6.7134146805347614E-2</v>
      </c>
      <c r="F9">
        <f t="shared" si="1"/>
        <v>5</v>
      </c>
      <c r="G9" s="16">
        <f>SUM($B$5:B9)/SUM($B$5:$B$78)</f>
        <v>0.39868361032532401</v>
      </c>
      <c r="H9" s="16">
        <f t="shared" si="2"/>
        <v>0.16200588378163491</v>
      </c>
    </row>
    <row r="10" spans="1:8" x14ac:dyDescent="0.3">
      <c r="A10" t="s">
        <v>59</v>
      </c>
      <c r="B10" s="13">
        <v>721584.27</v>
      </c>
      <c r="C10" s="14">
        <v>8229</v>
      </c>
      <c r="D10" s="13">
        <v>170853.26</v>
      </c>
      <c r="E10" s="17">
        <f t="shared" si="0"/>
        <v>5.3651264183090755E-2</v>
      </c>
      <c r="F10">
        <f t="shared" si="1"/>
        <v>6</v>
      </c>
      <c r="G10" s="16">
        <f>SUM($B$5:B10)/SUM($B$5:$B$78)</f>
        <v>0.45233487450841481</v>
      </c>
      <c r="H10" s="16">
        <f t="shared" si="2"/>
        <v>0.23677520021327517</v>
      </c>
    </row>
    <row r="11" spans="1:8" x14ac:dyDescent="0.3">
      <c r="A11" t="s">
        <v>60</v>
      </c>
      <c r="B11" s="13">
        <v>625538.73</v>
      </c>
      <c r="C11" s="14">
        <v>6903</v>
      </c>
      <c r="D11" s="13">
        <v>144953.87</v>
      </c>
      <c r="E11" s="17">
        <f t="shared" si="0"/>
        <v>4.6510082128016834E-2</v>
      </c>
      <c r="F11">
        <f t="shared" si="1"/>
        <v>7</v>
      </c>
      <c r="G11" s="16">
        <f>SUM($B$5:B11)/SUM($B$5:$B$78)</f>
        <v>0.49884495663643169</v>
      </c>
      <c r="H11" s="16">
        <f t="shared" si="2"/>
        <v>0.23172645121429972</v>
      </c>
    </row>
    <row r="12" spans="1:8" x14ac:dyDescent="0.3">
      <c r="A12" t="s">
        <v>61</v>
      </c>
      <c r="B12" s="13">
        <v>619724.39</v>
      </c>
      <c r="C12" s="14">
        <v>3772</v>
      </c>
      <c r="D12" s="13">
        <v>83124.97</v>
      </c>
      <c r="E12" s="17">
        <f t="shared" si="0"/>
        <v>4.6077774074252981E-2</v>
      </c>
      <c r="F12">
        <f t="shared" si="1"/>
        <v>8</v>
      </c>
      <c r="G12" s="16">
        <f>SUM($B$5:B12)/SUM($B$5:$B$78)</f>
        <v>0.54492273071068464</v>
      </c>
      <c r="H12" s="16">
        <f t="shared" si="2"/>
        <v>0.13413215832928571</v>
      </c>
    </row>
    <row r="13" spans="1:8" x14ac:dyDescent="0.3">
      <c r="A13" t="s">
        <v>62</v>
      </c>
      <c r="B13" s="13">
        <v>585177.48</v>
      </c>
      <c r="C13" s="14">
        <v>4195</v>
      </c>
      <c r="D13" s="13">
        <v>91676.7</v>
      </c>
      <c r="E13" s="17">
        <f t="shared" si="0"/>
        <v>4.3509140759783058E-2</v>
      </c>
      <c r="F13">
        <f t="shared" si="1"/>
        <v>9</v>
      </c>
      <c r="G13" s="16">
        <f>SUM($B$5:B13)/SUM($B$5:$B$78)</f>
        <v>0.58843187147046772</v>
      </c>
      <c r="H13" s="16">
        <f t="shared" si="2"/>
        <v>0.15666477800888715</v>
      </c>
    </row>
    <row r="14" spans="1:8" x14ac:dyDescent="0.3">
      <c r="A14" t="s">
        <v>63</v>
      </c>
      <c r="B14" s="13">
        <v>479650.06</v>
      </c>
      <c r="C14" s="14">
        <v>4323</v>
      </c>
      <c r="D14" s="13">
        <v>98409.95</v>
      </c>
      <c r="E14" s="17">
        <f t="shared" si="0"/>
        <v>3.5662961561641761E-2</v>
      </c>
      <c r="F14">
        <f t="shared" si="1"/>
        <v>10</v>
      </c>
      <c r="G14" s="16">
        <f>SUM($B$5:B14)/SUM($B$5:$B$78)</f>
        <v>0.62409483303210944</v>
      </c>
      <c r="H14" s="16">
        <f t="shared" si="2"/>
        <v>0.20517030686913704</v>
      </c>
    </row>
    <row r="15" spans="1:8" x14ac:dyDescent="0.3">
      <c r="A15" t="s">
        <v>64</v>
      </c>
      <c r="B15" s="13">
        <v>475702.04</v>
      </c>
      <c r="C15" s="14">
        <v>4059</v>
      </c>
      <c r="D15" s="13">
        <v>76489.72</v>
      </c>
      <c r="E15" s="17">
        <f t="shared" si="0"/>
        <v>3.5369418211507304E-2</v>
      </c>
      <c r="F15">
        <f t="shared" si="1"/>
        <v>11</v>
      </c>
      <c r="G15" s="16">
        <f>SUM($B$5:B15)/SUM($B$5:$B$78)</f>
        <v>0.65946425124361674</v>
      </c>
      <c r="H15" s="16">
        <f t="shared" si="2"/>
        <v>0.16079334030184106</v>
      </c>
    </row>
    <row r="16" spans="1:8" x14ac:dyDescent="0.3">
      <c r="A16" t="s">
        <v>65</v>
      </c>
      <c r="B16" s="13">
        <v>408941.03</v>
      </c>
      <c r="C16" s="14">
        <v>3032</v>
      </c>
      <c r="D16" s="13">
        <v>67861.42</v>
      </c>
      <c r="E16" s="17">
        <f t="shared" si="0"/>
        <v>3.0405600770420399E-2</v>
      </c>
      <c r="F16">
        <f t="shared" si="1"/>
        <v>12</v>
      </c>
      <c r="G16" s="16">
        <f>SUM($B$5:B16)/SUM($B$5:$B$78)</f>
        <v>0.68986985201403705</v>
      </c>
      <c r="H16" s="16">
        <f t="shared" si="2"/>
        <v>0.16594426829706962</v>
      </c>
    </row>
    <row r="17" spans="1:8" x14ac:dyDescent="0.3">
      <c r="A17" t="s">
        <v>66</v>
      </c>
      <c r="B17" s="13">
        <v>391770.21</v>
      </c>
      <c r="C17" s="14">
        <v>3373</v>
      </c>
      <c r="D17" s="13">
        <v>53495.06</v>
      </c>
      <c r="E17" s="17">
        <f t="shared" si="0"/>
        <v>2.9128915235049322E-2</v>
      </c>
      <c r="F17">
        <f t="shared" si="1"/>
        <v>13</v>
      </c>
      <c r="G17" s="16">
        <f>SUM($B$5:B17)/SUM($B$5:$B$78)</f>
        <v>0.7189987672490864</v>
      </c>
      <c r="H17" s="16">
        <f t="shared" si="2"/>
        <v>0.13654703352763856</v>
      </c>
    </row>
    <row r="18" spans="1:8" x14ac:dyDescent="0.3">
      <c r="A18" t="s">
        <v>67</v>
      </c>
      <c r="B18" s="13">
        <v>322082.46000000002</v>
      </c>
      <c r="C18" s="14">
        <v>4518</v>
      </c>
      <c r="D18" s="13">
        <v>70841.77</v>
      </c>
      <c r="E18" s="17">
        <f t="shared" si="0"/>
        <v>2.3947488697612214E-2</v>
      </c>
      <c r="F18">
        <f t="shared" si="1"/>
        <v>14</v>
      </c>
      <c r="G18" s="16">
        <f>SUM($B$5:B18)/SUM($B$5:$B$78)</f>
        <v>0.74294625594669872</v>
      </c>
      <c r="H18" s="16">
        <f t="shared" si="2"/>
        <v>0.21994917078067525</v>
      </c>
    </row>
    <row r="19" spans="1:8" x14ac:dyDescent="0.3">
      <c r="A19" t="s">
        <v>68</v>
      </c>
      <c r="B19" s="13">
        <v>272279.82</v>
      </c>
      <c r="C19" s="14">
        <v>1684</v>
      </c>
      <c r="D19" s="13">
        <v>68205.649999999994</v>
      </c>
      <c r="E19" s="17">
        <f t="shared" si="0"/>
        <v>2.0244560700504736E-2</v>
      </c>
      <c r="F19">
        <f t="shared" si="1"/>
        <v>15</v>
      </c>
      <c r="G19" s="16">
        <f>SUM($B$5:B19)/SUM($B$5:$B$78)</f>
        <v>0.76319081664720345</v>
      </c>
      <c r="H19" s="16">
        <f t="shared" si="2"/>
        <v>0.25049836598246611</v>
      </c>
    </row>
    <row r="20" spans="1:8" x14ac:dyDescent="0.3">
      <c r="A20" t="s">
        <v>69</v>
      </c>
      <c r="B20" s="13">
        <v>229593.84</v>
      </c>
      <c r="C20" s="14">
        <v>2505</v>
      </c>
      <c r="D20" s="13">
        <v>46558.34</v>
      </c>
      <c r="E20" s="17">
        <f t="shared" si="0"/>
        <v>1.707077090891999E-2</v>
      </c>
      <c r="F20">
        <f t="shared" si="1"/>
        <v>16</v>
      </c>
      <c r="G20" s="16">
        <f>SUM($B$5:B20)/SUM($B$5:$B$78)</f>
        <v>0.7802615875561234</v>
      </c>
      <c r="H20" s="16">
        <f t="shared" si="2"/>
        <v>0.20278566707190401</v>
      </c>
    </row>
    <row r="21" spans="1:8" x14ac:dyDescent="0.3">
      <c r="A21" t="s">
        <v>70</v>
      </c>
      <c r="B21" s="13">
        <v>222963.13</v>
      </c>
      <c r="C21" s="14">
        <v>203</v>
      </c>
      <c r="D21" s="13">
        <v>9836.2999999999993</v>
      </c>
      <c r="E21" s="17">
        <f t="shared" si="0"/>
        <v>1.6577764078364414E-2</v>
      </c>
      <c r="F21">
        <f t="shared" si="1"/>
        <v>17</v>
      </c>
      <c r="G21" s="16">
        <f>SUM($B$5:B21)/SUM($B$5:$B$78)</f>
        <v>0.79683935163448794</v>
      </c>
      <c r="H21" s="16">
        <f t="shared" si="2"/>
        <v>4.4116262630507559E-2</v>
      </c>
    </row>
    <row r="22" spans="1:8" x14ac:dyDescent="0.3">
      <c r="A22" t="s">
        <v>71</v>
      </c>
      <c r="B22" s="13">
        <v>213076.95</v>
      </c>
      <c r="C22" s="14">
        <v>1938</v>
      </c>
      <c r="D22" s="13">
        <v>39324.15</v>
      </c>
      <c r="E22" s="17">
        <f t="shared" si="0"/>
        <v>1.5842706404585592E-2</v>
      </c>
      <c r="F22">
        <f t="shared" si="1"/>
        <v>18</v>
      </c>
      <c r="G22" s="16">
        <f>SUM($B$5:B22)/SUM($B$5:$B$78)</f>
        <v>0.81268205803907345</v>
      </c>
      <c r="H22" s="16">
        <f t="shared" si="2"/>
        <v>0.18455374924411111</v>
      </c>
    </row>
    <row r="23" spans="1:8" x14ac:dyDescent="0.3">
      <c r="A23" t="s">
        <v>72</v>
      </c>
      <c r="B23" s="13">
        <v>187907.26</v>
      </c>
      <c r="C23" s="14">
        <v>671</v>
      </c>
      <c r="D23" s="13">
        <v>15824.24</v>
      </c>
      <c r="E23" s="17">
        <f t="shared" si="0"/>
        <v>1.3971288548433465E-2</v>
      </c>
      <c r="F23">
        <f t="shared" si="1"/>
        <v>19</v>
      </c>
      <c r="G23" s="16">
        <f>SUM($B$5:B23)/SUM($B$5:$B$78)</f>
        <v>0.82665334658750689</v>
      </c>
      <c r="H23" s="16">
        <f t="shared" si="2"/>
        <v>8.4213031470950078E-2</v>
      </c>
    </row>
    <row r="24" spans="1:8" x14ac:dyDescent="0.3">
      <c r="A24" t="s">
        <v>73</v>
      </c>
      <c r="B24" s="13">
        <v>187788.44</v>
      </c>
      <c r="C24" s="14">
        <v>669</v>
      </c>
      <c r="D24" s="13">
        <v>18232.88</v>
      </c>
      <c r="E24" s="17">
        <f t="shared" si="0"/>
        <v>1.3962454038764574E-2</v>
      </c>
      <c r="F24">
        <f t="shared" si="1"/>
        <v>20</v>
      </c>
      <c r="G24" s="16">
        <f>SUM($B$5:B24)/SUM($B$5:$B$78)</f>
        <v>0.84061580062627139</v>
      </c>
      <c r="H24" s="16">
        <f t="shared" si="2"/>
        <v>9.7092664489890859E-2</v>
      </c>
    </row>
    <row r="25" spans="1:8" x14ac:dyDescent="0.3">
      <c r="A25" t="s">
        <v>74</v>
      </c>
      <c r="B25" s="13">
        <v>178506.66</v>
      </c>
      <c r="C25" s="14">
        <v>1587</v>
      </c>
      <c r="D25" s="13">
        <v>27921.71</v>
      </c>
      <c r="E25" s="17">
        <f t="shared" si="0"/>
        <v>1.3272334739366143E-2</v>
      </c>
      <c r="F25">
        <f t="shared" si="1"/>
        <v>21</v>
      </c>
      <c r="G25" s="16">
        <f>SUM($B$5:B25)/SUM($B$5:$B$78)</f>
        <v>0.85388813536563757</v>
      </c>
      <c r="H25" s="16">
        <f t="shared" si="2"/>
        <v>0.15641830954654576</v>
      </c>
    </row>
    <row r="26" spans="1:8" x14ac:dyDescent="0.3">
      <c r="A26" t="s">
        <v>75</v>
      </c>
      <c r="B26" s="13">
        <v>156971.54999999999</v>
      </c>
      <c r="C26" s="14">
        <v>2754</v>
      </c>
      <c r="D26" s="13">
        <v>46325.43</v>
      </c>
      <c r="E26" s="17">
        <f t="shared" si="0"/>
        <v>1.167115532920256E-2</v>
      </c>
      <c r="F26">
        <f t="shared" si="1"/>
        <v>22</v>
      </c>
      <c r="G26" s="16">
        <f>SUM($B$5:B26)/SUM($B$5:$B$78)</f>
        <v>0.86555929069484017</v>
      </c>
      <c r="H26" s="16">
        <f t="shared" si="2"/>
        <v>0.29511991185663899</v>
      </c>
    </row>
    <row r="27" spans="1:8" x14ac:dyDescent="0.3">
      <c r="A27" t="s">
        <v>76</v>
      </c>
      <c r="B27" s="13">
        <v>151238.54999999999</v>
      </c>
      <c r="C27" s="14">
        <v>2016</v>
      </c>
      <c r="D27" s="13">
        <v>31173.61</v>
      </c>
      <c r="E27" s="17">
        <f t="shared" si="0"/>
        <v>1.1244895070561306E-2</v>
      </c>
      <c r="F27">
        <f t="shared" si="1"/>
        <v>23</v>
      </c>
      <c r="G27" s="16">
        <f>SUM($B$5:B27)/SUM($B$5:$B$78)</f>
        <v>0.87680418576540153</v>
      </c>
      <c r="H27" s="16">
        <f t="shared" si="2"/>
        <v>0.20612211635194866</v>
      </c>
    </row>
    <row r="28" spans="1:8" x14ac:dyDescent="0.3">
      <c r="A28" t="s">
        <v>77</v>
      </c>
      <c r="B28" s="13">
        <v>151045.01</v>
      </c>
      <c r="C28" s="14">
        <v>1117</v>
      </c>
      <c r="D28" s="13">
        <v>19505.169999999998</v>
      </c>
      <c r="E28" s="17">
        <f t="shared" si="0"/>
        <v>1.1230504976289997E-2</v>
      </c>
      <c r="F28">
        <f t="shared" si="1"/>
        <v>24</v>
      </c>
      <c r="G28" s="16">
        <f>SUM($B$5:B28)/SUM($B$5:$B$78)</f>
        <v>0.88803469074169161</v>
      </c>
      <c r="H28" s="16">
        <f t="shared" si="2"/>
        <v>0.12913481881990008</v>
      </c>
    </row>
    <row r="29" spans="1:8" x14ac:dyDescent="0.3">
      <c r="A29" t="s">
        <v>78</v>
      </c>
      <c r="B29" s="13">
        <v>144550.19</v>
      </c>
      <c r="C29" s="14">
        <v>927</v>
      </c>
      <c r="D29" s="13">
        <v>20629.5</v>
      </c>
      <c r="E29" s="17">
        <f t="shared" si="0"/>
        <v>1.0747601844765772E-2</v>
      </c>
      <c r="F29">
        <f t="shared" si="1"/>
        <v>25</v>
      </c>
      <c r="G29" s="16">
        <f>SUM($B$5:B29)/SUM($B$5:$B$78)</f>
        <v>0.89878229258645725</v>
      </c>
      <c r="H29" s="16">
        <f t="shared" si="2"/>
        <v>0.14271513582929224</v>
      </c>
    </row>
    <row r="30" spans="1:8" x14ac:dyDescent="0.3">
      <c r="A30" t="s">
        <v>79</v>
      </c>
      <c r="B30" s="13">
        <v>140111.38</v>
      </c>
      <c r="C30" s="14">
        <v>1088</v>
      </c>
      <c r="D30" s="13">
        <v>30392.71</v>
      </c>
      <c r="E30" s="17">
        <f t="shared" si="0"/>
        <v>1.0417567255779312E-2</v>
      </c>
      <c r="F30">
        <f t="shared" si="1"/>
        <v>26</v>
      </c>
      <c r="G30" s="16">
        <f>SUM($B$5:B30)/SUM($B$5:$B$78)</f>
        <v>0.90919985984223661</v>
      </c>
      <c r="H30" s="16">
        <f t="shared" si="2"/>
        <v>0.21691821178265461</v>
      </c>
    </row>
    <row r="31" spans="1:8" x14ac:dyDescent="0.3">
      <c r="A31" t="s">
        <v>80</v>
      </c>
      <c r="B31" s="13">
        <v>110649.74</v>
      </c>
      <c r="C31" s="14">
        <v>235</v>
      </c>
      <c r="D31" s="13">
        <v>10405.780000000001</v>
      </c>
      <c r="E31" s="17">
        <f t="shared" si="0"/>
        <v>8.2270341515763706E-3</v>
      </c>
      <c r="F31">
        <f t="shared" si="1"/>
        <v>27</v>
      </c>
      <c r="G31" s="16">
        <f>SUM($B$5:B31)/SUM($B$5:$B$78)</f>
        <v>0.91742689399381305</v>
      </c>
      <c r="H31" s="16">
        <f t="shared" si="2"/>
        <v>9.4042516502975973E-2</v>
      </c>
    </row>
    <row r="32" spans="1:8" x14ac:dyDescent="0.3">
      <c r="A32" t="s">
        <v>81</v>
      </c>
      <c r="B32" s="13">
        <v>83010.12</v>
      </c>
      <c r="C32" s="14">
        <v>603</v>
      </c>
      <c r="D32" s="13">
        <v>13823.5</v>
      </c>
      <c r="E32" s="17">
        <f t="shared" si="0"/>
        <v>6.1719719555278904E-3</v>
      </c>
      <c r="F32">
        <f t="shared" si="1"/>
        <v>28</v>
      </c>
      <c r="G32" s="16">
        <f>SUM($B$5:B32)/SUM($B$5:$B$78)</f>
        <v>0.92359886594934093</v>
      </c>
      <c r="H32" s="16">
        <f t="shared" si="2"/>
        <v>0.16652788840685931</v>
      </c>
    </row>
    <row r="33" spans="1:8" x14ac:dyDescent="0.3">
      <c r="A33" t="s">
        <v>82</v>
      </c>
      <c r="B33" s="13">
        <v>80001.240000000005</v>
      </c>
      <c r="C33" s="14">
        <v>769</v>
      </c>
      <c r="D33" s="13">
        <v>14770.06</v>
      </c>
      <c r="E33" s="17">
        <f t="shared" si="0"/>
        <v>5.9482555824212288E-3</v>
      </c>
      <c r="F33">
        <f t="shared" si="1"/>
        <v>29</v>
      </c>
      <c r="G33" s="16">
        <f>SUM($B$5:B33)/SUM($B$5:$B$78)</f>
        <v>0.92954712153176211</v>
      </c>
      <c r="H33" s="16">
        <f t="shared" si="2"/>
        <v>0.18462288834523063</v>
      </c>
    </row>
    <row r="34" spans="1:8" x14ac:dyDescent="0.3">
      <c r="A34" t="s">
        <v>83</v>
      </c>
      <c r="B34" s="13">
        <v>72530.47</v>
      </c>
      <c r="C34" s="14">
        <v>212</v>
      </c>
      <c r="D34" s="13">
        <v>5843.6</v>
      </c>
      <c r="E34" s="17">
        <f t="shared" si="0"/>
        <v>5.3927885751912782E-3</v>
      </c>
      <c r="F34">
        <f t="shared" si="1"/>
        <v>30</v>
      </c>
      <c r="G34" s="16">
        <f>SUM($B$5:B34)/SUM($B$5:$B$78)</f>
        <v>0.93493991010695343</v>
      </c>
      <c r="H34" s="16">
        <f t="shared" si="2"/>
        <v>8.0567518726957096E-2</v>
      </c>
    </row>
    <row r="35" spans="1:8" x14ac:dyDescent="0.3">
      <c r="A35" t="s">
        <v>84</v>
      </c>
      <c r="B35" s="13">
        <v>68638.559999999998</v>
      </c>
      <c r="C35" s="14">
        <v>501</v>
      </c>
      <c r="D35" s="13">
        <v>17918.740000000002</v>
      </c>
      <c r="E35" s="17">
        <f t="shared" si="0"/>
        <v>5.1034171181515995E-3</v>
      </c>
      <c r="F35">
        <f t="shared" si="1"/>
        <v>31</v>
      </c>
      <c r="G35" s="16">
        <f>SUM($B$5:B35)/SUM($B$5:$B$78)</f>
        <v>0.94004332722510509</v>
      </c>
      <c r="H35" s="16">
        <f t="shared" si="2"/>
        <v>0.26105938119913941</v>
      </c>
    </row>
    <row r="36" spans="1:8" x14ac:dyDescent="0.3">
      <c r="A36" t="s">
        <v>85</v>
      </c>
      <c r="B36" s="13">
        <v>58572.04</v>
      </c>
      <c r="C36" s="14">
        <v>434</v>
      </c>
      <c r="D36" s="13">
        <v>8501.23</v>
      </c>
      <c r="E36" s="17">
        <f t="shared" si="0"/>
        <v>4.354950797060139E-3</v>
      </c>
      <c r="F36">
        <f t="shared" si="1"/>
        <v>32</v>
      </c>
      <c r="G36" s="16">
        <f>SUM($B$5:B36)/SUM($B$5:$B$78)</f>
        <v>0.94439827802216514</v>
      </c>
      <c r="H36" s="16">
        <f t="shared" si="2"/>
        <v>0.14514143608452088</v>
      </c>
    </row>
    <row r="37" spans="1:8" x14ac:dyDescent="0.3">
      <c r="A37" t="s">
        <v>86</v>
      </c>
      <c r="B37" s="13">
        <v>57119.33</v>
      </c>
      <c r="C37" s="14">
        <v>256</v>
      </c>
      <c r="D37" s="13">
        <v>4520.2700000000004</v>
      </c>
      <c r="E37" s="17">
        <f t="shared" ref="E37:E68" si="3">B37/SUM($B$5:$B$78)</f>
        <v>4.2469388416562087E-3</v>
      </c>
      <c r="F37">
        <f t="shared" ref="F37:F68" si="4">RANK(B37,$B$5:$B$78)</f>
        <v>33</v>
      </c>
      <c r="G37" s="16">
        <f>SUM($B$5:B37)/SUM($B$5:$B$78)</f>
        <v>0.94864521686382142</v>
      </c>
      <c r="H37" s="16">
        <f t="shared" ref="H37:H68" si="5">D37/B37</f>
        <v>7.9137307808057278E-2</v>
      </c>
    </row>
    <row r="38" spans="1:8" x14ac:dyDescent="0.3">
      <c r="A38" t="s">
        <v>87</v>
      </c>
      <c r="B38" s="13">
        <v>53016.07</v>
      </c>
      <c r="C38" s="14">
        <v>285</v>
      </c>
      <c r="D38" s="13">
        <v>6515.59</v>
      </c>
      <c r="E38" s="17">
        <f t="shared" si="3"/>
        <v>3.9418530804714354E-3</v>
      </c>
      <c r="F38">
        <f t="shared" si="4"/>
        <v>34</v>
      </c>
      <c r="G38" s="16">
        <f>SUM($B$5:B38)/SUM($B$5:$B$78)</f>
        <v>0.95258706994429287</v>
      </c>
      <c r="H38" s="16">
        <f t="shared" si="5"/>
        <v>0.12289839665595734</v>
      </c>
    </row>
    <row r="39" spans="1:8" x14ac:dyDescent="0.3">
      <c r="A39" t="s">
        <v>88</v>
      </c>
      <c r="B39" s="13">
        <v>50511.61</v>
      </c>
      <c r="C39" s="14">
        <v>361</v>
      </c>
      <c r="D39" s="13">
        <v>5676.62</v>
      </c>
      <c r="E39" s="17">
        <f t="shared" si="3"/>
        <v>3.7556413645536491E-3</v>
      </c>
      <c r="F39">
        <f t="shared" si="4"/>
        <v>35</v>
      </c>
      <c r="G39" s="16">
        <f>SUM($B$5:B39)/SUM($B$5:$B$78)</f>
        <v>0.9563427113088464</v>
      </c>
      <c r="H39" s="16">
        <f t="shared" si="5"/>
        <v>0.11238247998826408</v>
      </c>
    </row>
    <row r="40" spans="1:8" x14ac:dyDescent="0.3">
      <c r="A40" t="s">
        <v>89</v>
      </c>
      <c r="B40" s="13">
        <v>47445.71</v>
      </c>
      <c r="C40" s="14">
        <v>76</v>
      </c>
      <c r="D40" s="13">
        <v>2747.86</v>
      </c>
      <c r="E40" s="17">
        <f t="shared" si="3"/>
        <v>3.5276854379936952E-3</v>
      </c>
      <c r="F40">
        <f t="shared" si="4"/>
        <v>36</v>
      </c>
      <c r="G40" s="16">
        <f>SUM($B$5:B40)/SUM($B$5:$B$78)</f>
        <v>0.95987039674684016</v>
      </c>
      <c r="H40" s="16">
        <f t="shared" si="5"/>
        <v>5.7915879012032913E-2</v>
      </c>
    </row>
    <row r="41" spans="1:8" x14ac:dyDescent="0.3">
      <c r="A41" t="s">
        <v>90</v>
      </c>
      <c r="B41" s="13">
        <v>45925.37</v>
      </c>
      <c r="C41" s="14">
        <v>278</v>
      </c>
      <c r="D41" s="13">
        <v>11813.93</v>
      </c>
      <c r="E41" s="17">
        <f t="shared" si="3"/>
        <v>3.4146450539674191E-3</v>
      </c>
      <c r="F41">
        <f t="shared" si="4"/>
        <v>37</v>
      </c>
      <c r="G41" s="16">
        <f>SUM($B$5:B41)/SUM($B$5:$B$78)</f>
        <v>0.96328504180080754</v>
      </c>
      <c r="H41" s="16">
        <f t="shared" si="5"/>
        <v>0.25724191225895404</v>
      </c>
    </row>
    <row r="42" spans="1:8" x14ac:dyDescent="0.3">
      <c r="A42" t="s">
        <v>91</v>
      </c>
      <c r="B42" s="13">
        <v>45502.79</v>
      </c>
      <c r="C42" s="14">
        <v>545</v>
      </c>
      <c r="D42" s="13">
        <v>9011.36</v>
      </c>
      <c r="E42" s="17">
        <f t="shared" si="3"/>
        <v>3.3832253679223082E-3</v>
      </c>
      <c r="F42">
        <f t="shared" si="4"/>
        <v>38</v>
      </c>
      <c r="G42" s="16">
        <f>SUM($B$5:B42)/SUM($B$5:$B$78)</f>
        <v>0.96666826716872978</v>
      </c>
      <c r="H42" s="16">
        <f t="shared" si="5"/>
        <v>0.19803972459710714</v>
      </c>
    </row>
    <row r="43" spans="1:8" x14ac:dyDescent="0.3">
      <c r="A43" t="s">
        <v>92</v>
      </c>
      <c r="B43" s="13">
        <v>40002</v>
      </c>
      <c r="C43" s="14">
        <v>302</v>
      </c>
      <c r="D43" s="13">
        <v>7509.18</v>
      </c>
      <c r="E43" s="17">
        <f t="shared" si="3"/>
        <v>2.9742303970290208E-3</v>
      </c>
      <c r="F43">
        <f t="shared" si="4"/>
        <v>39</v>
      </c>
      <c r="G43" s="16">
        <f>SUM($B$5:B43)/SUM($B$5:$B$78)</f>
        <v>0.96964249756575882</v>
      </c>
      <c r="H43" s="16">
        <f t="shared" si="5"/>
        <v>0.1877201139943003</v>
      </c>
    </row>
    <row r="44" spans="1:8" x14ac:dyDescent="0.3">
      <c r="A44" t="s">
        <v>93</v>
      </c>
      <c r="B44" s="13">
        <v>39589.019999999997</v>
      </c>
      <c r="C44" s="14">
        <v>189</v>
      </c>
      <c r="D44" s="13">
        <v>3831.57</v>
      </c>
      <c r="E44" s="17">
        <f t="shared" si="3"/>
        <v>2.9435244905902163E-3</v>
      </c>
      <c r="F44">
        <f t="shared" si="4"/>
        <v>40</v>
      </c>
      <c r="G44" s="16">
        <f>SUM($B$5:B44)/SUM($B$5:$B$78)</f>
        <v>0.97258602205634903</v>
      </c>
      <c r="H44" s="16">
        <f t="shared" si="5"/>
        <v>9.6783653649420986E-2</v>
      </c>
    </row>
    <row r="45" spans="1:8" x14ac:dyDescent="0.3">
      <c r="A45" t="s">
        <v>94</v>
      </c>
      <c r="B45" s="13">
        <v>39310.01</v>
      </c>
      <c r="C45" s="14">
        <v>264</v>
      </c>
      <c r="D45" s="13">
        <v>7810.72</v>
      </c>
      <c r="E45" s="17">
        <f t="shared" si="3"/>
        <v>2.9227795272615065E-3</v>
      </c>
      <c r="F45">
        <f t="shared" si="4"/>
        <v>41</v>
      </c>
      <c r="G45" s="16">
        <f>SUM($B$5:B45)/SUM($B$5:$B$78)</f>
        <v>0.97550880158361053</v>
      </c>
      <c r="H45" s="16">
        <f t="shared" si="5"/>
        <v>0.1986954467831476</v>
      </c>
    </row>
    <row r="46" spans="1:8" x14ac:dyDescent="0.3">
      <c r="A46" t="s">
        <v>95</v>
      </c>
      <c r="B46" s="13">
        <v>29163.61</v>
      </c>
      <c r="C46" s="14">
        <v>508</v>
      </c>
      <c r="D46" s="13">
        <v>7236.94</v>
      </c>
      <c r="E46" s="17">
        <f t="shared" si="3"/>
        <v>2.1683739650292366E-3</v>
      </c>
      <c r="F46">
        <f t="shared" si="4"/>
        <v>42</v>
      </c>
      <c r="G46" s="16">
        <f>SUM($B$5:B46)/SUM($B$5:$B$78)</f>
        <v>0.97767717554863964</v>
      </c>
      <c r="H46" s="16">
        <f t="shared" si="5"/>
        <v>0.24814966322756338</v>
      </c>
    </row>
    <row r="47" spans="1:8" x14ac:dyDescent="0.3">
      <c r="A47" t="s">
        <v>96</v>
      </c>
      <c r="B47" s="13">
        <v>26982.28</v>
      </c>
      <c r="C47" s="14">
        <v>297</v>
      </c>
      <c r="D47" s="13">
        <v>5133.07</v>
      </c>
      <c r="E47" s="17">
        <f t="shared" si="3"/>
        <v>2.006187624547478E-3</v>
      </c>
      <c r="F47">
        <f t="shared" si="4"/>
        <v>43</v>
      </c>
      <c r="G47" s="16">
        <f>SUM($B$5:B47)/SUM($B$5:$B$78)</f>
        <v>0.97968336317318716</v>
      </c>
      <c r="H47" s="16">
        <f t="shared" si="5"/>
        <v>0.19023855656378927</v>
      </c>
    </row>
    <row r="48" spans="1:8" x14ac:dyDescent="0.3">
      <c r="A48" t="s">
        <v>97</v>
      </c>
      <c r="B48" s="13">
        <v>25552.18</v>
      </c>
      <c r="C48" s="14">
        <v>234</v>
      </c>
      <c r="D48" s="13">
        <v>5229.71</v>
      </c>
      <c r="E48" s="17">
        <f t="shared" si="3"/>
        <v>1.8998567688204842E-3</v>
      </c>
      <c r="F48">
        <f t="shared" si="4"/>
        <v>44</v>
      </c>
      <c r="G48" s="16">
        <f>SUM($B$5:B48)/SUM($B$5:$B$78)</f>
        <v>0.98158321994200759</v>
      </c>
      <c r="H48" s="16">
        <f t="shared" si="5"/>
        <v>0.20466786004168724</v>
      </c>
    </row>
    <row r="49" spans="1:8" x14ac:dyDescent="0.3">
      <c r="A49" t="s">
        <v>98</v>
      </c>
      <c r="B49" s="13">
        <v>24167.64</v>
      </c>
      <c r="C49" s="14">
        <v>208</v>
      </c>
      <c r="D49" s="13">
        <v>4028.57</v>
      </c>
      <c r="E49" s="17">
        <f t="shared" si="3"/>
        <v>1.796913392141754E-3</v>
      </c>
      <c r="F49">
        <f t="shared" si="4"/>
        <v>45</v>
      </c>
      <c r="G49" s="16">
        <f>SUM($B$5:B49)/SUM($B$5:$B$78)</f>
        <v>0.98338013333414942</v>
      </c>
      <c r="H49" s="16">
        <f t="shared" si="5"/>
        <v>0.16669273458227615</v>
      </c>
    </row>
    <row r="50" spans="1:8" x14ac:dyDescent="0.3">
      <c r="A50" t="s">
        <v>99</v>
      </c>
      <c r="B50" s="13">
        <v>23322.89</v>
      </c>
      <c r="C50" s="14">
        <v>259</v>
      </c>
      <c r="D50" s="13">
        <v>4884.57</v>
      </c>
      <c r="E50" s="17">
        <f t="shared" si="3"/>
        <v>1.734104504388885E-3</v>
      </c>
      <c r="F50">
        <f t="shared" si="4"/>
        <v>46</v>
      </c>
      <c r="G50" s="16">
        <f>SUM($B$5:B50)/SUM($B$5:$B$78)</f>
        <v>0.98511423783853835</v>
      </c>
      <c r="H50" s="16">
        <f t="shared" si="5"/>
        <v>0.20943245026666935</v>
      </c>
    </row>
    <row r="51" spans="1:8" x14ac:dyDescent="0.3">
      <c r="A51" t="s">
        <v>100</v>
      </c>
      <c r="B51" s="13">
        <v>22378.71</v>
      </c>
      <c r="C51" s="14">
        <v>378</v>
      </c>
      <c r="D51" s="13">
        <v>5722.04</v>
      </c>
      <c r="E51" s="17">
        <f t="shared" si="3"/>
        <v>1.6639027930677795E-3</v>
      </c>
      <c r="F51">
        <f t="shared" si="4"/>
        <v>47</v>
      </c>
      <c r="G51" s="16">
        <f>SUM($B$5:B51)/SUM($B$5:$B$78)</f>
        <v>0.98677814063160618</v>
      </c>
      <c r="H51" s="16">
        <f t="shared" si="5"/>
        <v>0.2556912351069387</v>
      </c>
    </row>
    <row r="52" spans="1:8" x14ac:dyDescent="0.3">
      <c r="A52" t="s">
        <v>101</v>
      </c>
      <c r="B52" s="13">
        <v>21509.23</v>
      </c>
      <c r="C52" s="14">
        <v>199</v>
      </c>
      <c r="D52" s="13">
        <v>6507.82</v>
      </c>
      <c r="E52" s="17">
        <f t="shared" si="3"/>
        <v>1.5992551793082477E-3</v>
      </c>
      <c r="F52">
        <f t="shared" si="4"/>
        <v>48</v>
      </c>
      <c r="G52" s="16">
        <f>SUM($B$5:B52)/SUM($B$5:$B$78)</f>
        <v>0.98837739581091444</v>
      </c>
      <c r="H52" s="16">
        <f t="shared" si="5"/>
        <v>0.30255941286601146</v>
      </c>
    </row>
    <row r="53" spans="1:8" x14ac:dyDescent="0.3">
      <c r="A53" t="s">
        <v>102</v>
      </c>
      <c r="B53" s="13">
        <v>20028.78</v>
      </c>
      <c r="C53" s="14">
        <v>109</v>
      </c>
      <c r="D53" s="13">
        <v>4632.2299999999996</v>
      </c>
      <c r="E53" s="17">
        <f t="shared" si="3"/>
        <v>1.4891806982502602E-3</v>
      </c>
      <c r="F53">
        <f t="shared" si="4"/>
        <v>49</v>
      </c>
      <c r="G53" s="16">
        <f>SUM($B$5:B53)/SUM($B$5:$B$78)</f>
        <v>0.98986657650916465</v>
      </c>
      <c r="H53" s="16">
        <f t="shared" si="5"/>
        <v>0.23127868996514014</v>
      </c>
    </row>
    <row r="54" spans="1:8" x14ac:dyDescent="0.3">
      <c r="A54" t="s">
        <v>103</v>
      </c>
      <c r="B54" s="13">
        <v>18829.060000000001</v>
      </c>
      <c r="C54" s="14">
        <v>266</v>
      </c>
      <c r="D54" s="13">
        <v>4250.22</v>
      </c>
      <c r="E54" s="17">
        <f t="shared" si="3"/>
        <v>1.3999790660337798E-3</v>
      </c>
      <c r="F54">
        <f t="shared" si="4"/>
        <v>50</v>
      </c>
      <c r="G54" s="16">
        <f>SUM($B$5:B54)/SUM($B$5:$B$78)</f>
        <v>0.99126655557519849</v>
      </c>
      <c r="H54" s="16">
        <f t="shared" si="5"/>
        <v>0.22572661619857814</v>
      </c>
    </row>
    <row r="55" spans="1:8" x14ac:dyDescent="0.3">
      <c r="A55" t="s">
        <v>104</v>
      </c>
      <c r="B55" s="13">
        <v>15903.95</v>
      </c>
      <c r="C55" s="14">
        <v>103</v>
      </c>
      <c r="D55" s="13">
        <v>2030.22</v>
      </c>
      <c r="E55" s="17">
        <f t="shared" si="3"/>
        <v>1.1824911635125669E-3</v>
      </c>
      <c r="F55">
        <f t="shared" si="4"/>
        <v>51</v>
      </c>
      <c r="G55" s="16">
        <f>SUM($B$5:B55)/SUM($B$5:$B$78)</f>
        <v>0.99244904673871093</v>
      </c>
      <c r="H55" s="16">
        <f t="shared" si="5"/>
        <v>0.1276550793985142</v>
      </c>
    </row>
    <row r="56" spans="1:8" x14ac:dyDescent="0.3">
      <c r="A56" t="s">
        <v>105</v>
      </c>
      <c r="B56" s="13">
        <v>15119.48</v>
      </c>
      <c r="C56" s="14">
        <v>276</v>
      </c>
      <c r="D56" s="13">
        <v>4488.62</v>
      </c>
      <c r="E56" s="17">
        <f t="shared" si="3"/>
        <v>1.124164216870965E-3</v>
      </c>
      <c r="F56">
        <f t="shared" si="4"/>
        <v>52</v>
      </c>
      <c r="G56" s="16">
        <f>SUM($B$5:B56)/SUM($B$5:$B$78)</f>
        <v>0.99357321095558193</v>
      </c>
      <c r="H56" s="16">
        <f t="shared" si="5"/>
        <v>0.29687661215861921</v>
      </c>
    </row>
    <row r="57" spans="1:8" x14ac:dyDescent="0.3">
      <c r="A57" t="s">
        <v>106</v>
      </c>
      <c r="B57" s="13">
        <v>10723.92</v>
      </c>
      <c r="C57" s="14">
        <v>130</v>
      </c>
      <c r="D57" s="13">
        <v>2133.67</v>
      </c>
      <c r="E57" s="17">
        <f t="shared" si="3"/>
        <v>7.9734535371500073E-4</v>
      </c>
      <c r="F57">
        <f t="shared" si="4"/>
        <v>53</v>
      </c>
      <c r="G57" s="16">
        <f>SUM($B$5:B57)/SUM($B$5:$B$78)</f>
        <v>0.99437055630929694</v>
      </c>
      <c r="H57" s="16">
        <f t="shared" si="5"/>
        <v>0.19896362524151617</v>
      </c>
    </row>
    <row r="58" spans="1:8" x14ac:dyDescent="0.3">
      <c r="A58" t="s">
        <v>107</v>
      </c>
      <c r="B58" s="13">
        <v>9541.5499999999993</v>
      </c>
      <c r="C58" s="14">
        <v>131</v>
      </c>
      <c r="D58" s="13">
        <v>1916.19</v>
      </c>
      <c r="E58" s="17">
        <f t="shared" si="3"/>
        <v>7.0943372943283465E-4</v>
      </c>
      <c r="F58">
        <f t="shared" si="4"/>
        <v>54</v>
      </c>
      <c r="G58" s="16">
        <f>SUM($B$5:B58)/SUM($B$5:$B$78)</f>
        <v>0.99507999003872982</v>
      </c>
      <c r="H58" s="16">
        <f t="shared" si="5"/>
        <v>0.20082586162625571</v>
      </c>
    </row>
    <row r="59" spans="1:8" x14ac:dyDescent="0.3">
      <c r="A59" t="s">
        <v>108</v>
      </c>
      <c r="B59" s="13">
        <v>8787.83</v>
      </c>
      <c r="C59" s="14">
        <v>152</v>
      </c>
      <c r="D59" s="13">
        <v>3221.36</v>
      </c>
      <c r="E59" s="17">
        <f t="shared" si="3"/>
        <v>6.5339310809268383E-4</v>
      </c>
      <c r="F59">
        <f t="shared" si="4"/>
        <v>55</v>
      </c>
      <c r="G59" s="16">
        <f>SUM($B$5:B59)/SUM($B$5:$B$78)</f>
        <v>0.99573338314682258</v>
      </c>
      <c r="H59" s="16">
        <f t="shared" si="5"/>
        <v>0.36657058682291305</v>
      </c>
    </row>
    <row r="60" spans="1:8" x14ac:dyDescent="0.3">
      <c r="A60" t="s">
        <v>109</v>
      </c>
      <c r="B60" s="13">
        <v>7528.41</v>
      </c>
      <c r="C60" s="14">
        <v>83</v>
      </c>
      <c r="D60" s="13">
        <v>1226.2</v>
      </c>
      <c r="E60" s="17">
        <f t="shared" si="3"/>
        <v>5.5975265894948379E-4</v>
      </c>
      <c r="F60">
        <f t="shared" si="4"/>
        <v>56</v>
      </c>
      <c r="G60" s="16">
        <f>SUM($B$5:B60)/SUM($B$5:$B$78)</f>
        <v>0.99629313580577206</v>
      </c>
      <c r="H60" s="16">
        <f t="shared" si="5"/>
        <v>0.1628763576904021</v>
      </c>
    </row>
    <row r="61" spans="1:8" x14ac:dyDescent="0.3">
      <c r="A61" t="s">
        <v>110</v>
      </c>
      <c r="B61" s="13">
        <v>6933.46</v>
      </c>
      <c r="C61" s="14">
        <v>72</v>
      </c>
      <c r="D61" s="13">
        <v>1256.2</v>
      </c>
      <c r="E61" s="17">
        <f t="shared" si="3"/>
        <v>5.1551691136905243E-4</v>
      </c>
      <c r="F61">
        <f t="shared" si="4"/>
        <v>57</v>
      </c>
      <c r="G61" s="16">
        <f>SUM($B$5:B61)/SUM($B$5:$B$78)</f>
        <v>0.99680865271714114</v>
      </c>
      <c r="H61" s="16">
        <f t="shared" si="5"/>
        <v>0.18117938229974645</v>
      </c>
    </row>
    <row r="62" spans="1:8" x14ac:dyDescent="0.3">
      <c r="A62" t="s">
        <v>111</v>
      </c>
      <c r="B62" s="13">
        <v>6034.35</v>
      </c>
      <c r="C62" s="14">
        <v>38</v>
      </c>
      <c r="D62" s="13">
        <v>690.51</v>
      </c>
      <c r="E62" s="17">
        <f t="shared" si="3"/>
        <v>4.4866624659547209E-4</v>
      </c>
      <c r="F62">
        <f t="shared" si="4"/>
        <v>58</v>
      </c>
      <c r="G62" s="16">
        <f>SUM($B$5:B62)/SUM($B$5:$B$78)</f>
        <v>0.99725731896373659</v>
      </c>
      <c r="H62" s="16">
        <f t="shared" si="5"/>
        <v>0.11442988888612692</v>
      </c>
    </row>
    <row r="63" spans="1:8" x14ac:dyDescent="0.3">
      <c r="A63" t="s">
        <v>112</v>
      </c>
      <c r="B63" s="13">
        <v>4639.8500000000004</v>
      </c>
      <c r="C63" s="14">
        <v>60</v>
      </c>
      <c r="D63" s="13">
        <v>769.85</v>
      </c>
      <c r="E63" s="17">
        <f t="shared" si="3"/>
        <v>3.4498232357519883E-4</v>
      </c>
      <c r="F63">
        <f t="shared" si="4"/>
        <v>59</v>
      </c>
      <c r="G63" s="16">
        <f>SUM($B$5:B63)/SUM($B$5:$B$78)</f>
        <v>0.99760230128731175</v>
      </c>
      <c r="H63" s="16">
        <f t="shared" si="5"/>
        <v>0.16592131211138289</v>
      </c>
    </row>
    <row r="64" spans="1:8" x14ac:dyDescent="0.3">
      <c r="A64" t="s">
        <v>113</v>
      </c>
      <c r="B64" s="13">
        <v>4559.49</v>
      </c>
      <c r="C64" s="14">
        <v>62</v>
      </c>
      <c r="D64" s="13">
        <v>1244.8800000000001</v>
      </c>
      <c r="E64" s="17">
        <f t="shared" si="3"/>
        <v>3.3900739345407352E-4</v>
      </c>
      <c r="F64">
        <f t="shared" si="4"/>
        <v>60</v>
      </c>
      <c r="G64" s="16">
        <f>SUM($B$5:B64)/SUM($B$5:$B$78)</f>
        <v>0.99794130868076592</v>
      </c>
      <c r="H64" s="16">
        <f t="shared" si="5"/>
        <v>0.27303053630998209</v>
      </c>
    </row>
    <row r="65" spans="1:8" x14ac:dyDescent="0.3">
      <c r="A65" t="s">
        <v>114</v>
      </c>
      <c r="B65" s="13">
        <v>4485.18</v>
      </c>
      <c r="C65" s="14">
        <v>43</v>
      </c>
      <c r="D65" s="13">
        <v>827.97</v>
      </c>
      <c r="E65" s="17">
        <f t="shared" si="3"/>
        <v>3.3348229318900618E-4</v>
      </c>
      <c r="F65">
        <f t="shared" si="4"/>
        <v>61</v>
      </c>
      <c r="G65" s="16">
        <f>SUM($B$5:B65)/SUM($B$5:$B$78)</f>
        <v>0.99827479097395488</v>
      </c>
      <c r="H65" s="16">
        <f t="shared" si="5"/>
        <v>0.18460128690487337</v>
      </c>
    </row>
    <row r="66" spans="1:8" x14ac:dyDescent="0.3">
      <c r="A66" t="s">
        <v>115</v>
      </c>
      <c r="B66" s="13">
        <v>4368.08</v>
      </c>
      <c r="C66" s="14">
        <v>38</v>
      </c>
      <c r="D66" s="13">
        <v>1630.46</v>
      </c>
      <c r="E66" s="17">
        <f t="shared" si="3"/>
        <v>3.247756690329115E-4</v>
      </c>
      <c r="F66">
        <f t="shared" si="4"/>
        <v>62</v>
      </c>
      <c r="G66" s="16">
        <f>SUM($B$5:B66)/SUM($B$5:$B$78)</f>
        <v>0.99859956664298777</v>
      </c>
      <c r="H66" s="16">
        <f t="shared" si="5"/>
        <v>0.37326697313236024</v>
      </c>
    </row>
    <row r="67" spans="1:8" x14ac:dyDescent="0.3">
      <c r="A67" t="s">
        <v>116</v>
      </c>
      <c r="B67" s="13">
        <v>3933.63</v>
      </c>
      <c r="C67" s="14">
        <v>14</v>
      </c>
      <c r="D67" s="13">
        <v>294.42</v>
      </c>
      <c r="E67" s="17">
        <f t="shared" si="3"/>
        <v>2.9247342424541941E-4</v>
      </c>
      <c r="F67">
        <f t="shared" si="4"/>
        <v>63</v>
      </c>
      <c r="G67" s="16">
        <f>SUM($B$5:B67)/SUM($B$5:$B$78)</f>
        <v>0.9988920400672332</v>
      </c>
      <c r="H67" s="16">
        <f t="shared" si="5"/>
        <v>7.4846897140808874E-2</v>
      </c>
    </row>
    <row r="68" spans="1:8" x14ac:dyDescent="0.3">
      <c r="A68" t="s">
        <v>117</v>
      </c>
      <c r="B68" s="13">
        <v>2748.74</v>
      </c>
      <c r="C68" s="14">
        <v>47</v>
      </c>
      <c r="D68" s="13">
        <v>607.02</v>
      </c>
      <c r="E68" s="17">
        <f t="shared" si="3"/>
        <v>2.0437443281659794E-4</v>
      </c>
      <c r="F68">
        <f t="shared" si="4"/>
        <v>64</v>
      </c>
      <c r="G68" s="16">
        <f>SUM($B$5:B68)/SUM($B$5:$B$78)</f>
        <v>0.99909641450004982</v>
      </c>
      <c r="H68" s="16">
        <f t="shared" si="5"/>
        <v>0.22083572837008958</v>
      </c>
    </row>
    <row r="69" spans="1:8" x14ac:dyDescent="0.3">
      <c r="A69" t="s">
        <v>118</v>
      </c>
      <c r="B69" s="13">
        <v>2119.5100000000002</v>
      </c>
      <c r="C69" s="14">
        <v>30</v>
      </c>
      <c r="D69" s="13">
        <v>578.13</v>
      </c>
      <c r="E69" s="17">
        <f t="shared" ref="E69:E78" si="6">B69/SUM($B$5:$B$78)</f>
        <v>1.5758989722531325E-4</v>
      </c>
      <c r="F69">
        <f t="shared" ref="F69:F78" si="7">RANK(B69,$B$5:$B$78)</f>
        <v>65</v>
      </c>
      <c r="G69" s="16">
        <f>SUM($B$5:B69)/SUM($B$5:$B$78)</f>
        <v>0.99925400439727519</v>
      </c>
      <c r="H69" s="16">
        <f t="shared" ref="H69:H78" si="8">D69/B69</f>
        <v>0.27276587513151623</v>
      </c>
    </row>
    <row r="70" spans="1:8" x14ac:dyDescent="0.3">
      <c r="A70" t="s">
        <v>119</v>
      </c>
      <c r="B70" s="13">
        <v>2054.9899999999998</v>
      </c>
      <c r="C70" s="14">
        <v>14</v>
      </c>
      <c r="D70" s="13">
        <v>333.55</v>
      </c>
      <c r="E70" s="17">
        <f t="shared" si="6"/>
        <v>1.5279270345459396E-4</v>
      </c>
      <c r="F70">
        <f t="shared" si="7"/>
        <v>66</v>
      </c>
      <c r="G70" s="16">
        <f>SUM($B$5:B70)/SUM($B$5:$B$78)</f>
        <v>0.99940679710072977</v>
      </c>
      <c r="H70" s="16">
        <f t="shared" si="8"/>
        <v>0.16231222536362711</v>
      </c>
    </row>
    <row r="71" spans="1:8" x14ac:dyDescent="0.3">
      <c r="A71" t="s">
        <v>120</v>
      </c>
      <c r="B71" s="13">
        <v>1814.01</v>
      </c>
      <c r="C71" s="14">
        <v>24</v>
      </c>
      <c r="D71" s="13">
        <v>370.13</v>
      </c>
      <c r="E71" s="17">
        <f t="shared" si="6"/>
        <v>1.3487534829545057E-4</v>
      </c>
      <c r="F71">
        <f t="shared" si="7"/>
        <v>67</v>
      </c>
      <c r="G71" s="16">
        <f>SUM($B$5:B71)/SUM($B$5:$B$78)</f>
        <v>0.99954167244902525</v>
      </c>
      <c r="H71" s="16">
        <f t="shared" si="8"/>
        <v>0.20403966902056769</v>
      </c>
    </row>
    <row r="72" spans="1:8" x14ac:dyDescent="0.3">
      <c r="A72" t="s">
        <v>121</v>
      </c>
      <c r="B72" s="13">
        <v>1403.89</v>
      </c>
      <c r="C72" s="14">
        <v>37</v>
      </c>
      <c r="D72" s="13">
        <v>546.37</v>
      </c>
      <c r="E72" s="17">
        <f t="shared" si="6"/>
        <v>1.0438208869769192E-4</v>
      </c>
      <c r="F72">
        <f t="shared" si="7"/>
        <v>68</v>
      </c>
      <c r="G72" s="16">
        <f>SUM($B$5:B72)/SUM($B$5:$B$78)</f>
        <v>0.99964605453772293</v>
      </c>
      <c r="H72" s="16">
        <f t="shared" si="8"/>
        <v>0.3891829131912044</v>
      </c>
    </row>
    <row r="73" spans="1:8" x14ac:dyDescent="0.3">
      <c r="A73" t="s">
        <v>122</v>
      </c>
      <c r="B73" s="13">
        <v>1306.95</v>
      </c>
      <c r="C73" s="14">
        <v>8</v>
      </c>
      <c r="D73" s="13">
        <v>123.15</v>
      </c>
      <c r="E73" s="17">
        <f t="shared" si="6"/>
        <v>9.717440171484123E-5</v>
      </c>
      <c r="F73">
        <f t="shared" si="7"/>
        <v>69</v>
      </c>
      <c r="G73" s="16">
        <f>SUM($B$5:B73)/SUM($B$5:$B$78)</f>
        <v>0.99974322893943768</v>
      </c>
      <c r="H73" s="16">
        <f t="shared" si="8"/>
        <v>9.4227017100883742E-2</v>
      </c>
    </row>
    <row r="74" spans="1:8" x14ac:dyDescent="0.3">
      <c r="A74" t="s">
        <v>123</v>
      </c>
      <c r="B74" s="13">
        <v>1110.04</v>
      </c>
      <c r="C74" s="14">
        <v>33</v>
      </c>
      <c r="D74" s="13">
        <v>488.87</v>
      </c>
      <c r="E74" s="17">
        <f t="shared" si="6"/>
        <v>8.2533741060899308E-5</v>
      </c>
      <c r="F74">
        <f t="shared" si="7"/>
        <v>70</v>
      </c>
      <c r="G74" s="16">
        <f>SUM($B$5:B74)/SUM($B$5:$B$78)</f>
        <v>0.99982576268049861</v>
      </c>
      <c r="H74" s="16">
        <f t="shared" si="8"/>
        <v>0.44040755288097727</v>
      </c>
    </row>
    <row r="75" spans="1:8" x14ac:dyDescent="0.3">
      <c r="A75" t="s">
        <v>124</v>
      </c>
      <c r="B75" s="13">
        <v>760.27</v>
      </c>
      <c r="C75" s="14">
        <v>30</v>
      </c>
      <c r="D75" s="13">
        <v>410.31</v>
      </c>
      <c r="E75" s="17">
        <f t="shared" si="6"/>
        <v>5.6527627217370472E-5</v>
      </c>
      <c r="F75">
        <f t="shared" si="7"/>
        <v>71</v>
      </c>
      <c r="G75" s="16">
        <f>SUM($B$5:B75)/SUM($B$5:$B$78)</f>
        <v>0.99988229030771592</v>
      </c>
      <c r="H75" s="16">
        <f t="shared" si="8"/>
        <v>0.53968984702802958</v>
      </c>
    </row>
    <row r="76" spans="1:8" x14ac:dyDescent="0.3">
      <c r="A76" t="s">
        <v>125</v>
      </c>
      <c r="B76" s="13">
        <v>730</v>
      </c>
      <c r="C76" s="14">
        <v>14</v>
      </c>
      <c r="D76" s="13">
        <v>224.99</v>
      </c>
      <c r="E76" s="17">
        <f t="shared" si="6"/>
        <v>5.4276990896234823E-5</v>
      </c>
      <c r="F76">
        <f t="shared" si="7"/>
        <v>72</v>
      </c>
      <c r="G76" s="16">
        <f>SUM($B$5:B76)/SUM($B$5:$B$78)</f>
        <v>0.99993656729861213</v>
      </c>
      <c r="H76" s="16">
        <f t="shared" si="8"/>
        <v>0.30820547945205479</v>
      </c>
    </row>
    <row r="77" spans="1:8" x14ac:dyDescent="0.3">
      <c r="A77" t="s">
        <v>126</v>
      </c>
      <c r="B77" s="13">
        <v>569.85</v>
      </c>
      <c r="C77" s="14">
        <v>8</v>
      </c>
      <c r="D77" s="13">
        <v>95.51</v>
      </c>
      <c r="E77" s="17">
        <f t="shared" si="6"/>
        <v>4.2369511318108785E-5</v>
      </c>
      <c r="F77">
        <f t="shared" si="7"/>
        <v>73</v>
      </c>
      <c r="G77" s="16">
        <f>SUM($B$5:B77)/SUM($B$5:$B$78)</f>
        <v>0.99997893680993022</v>
      </c>
      <c r="H77" s="16">
        <f t="shared" si="8"/>
        <v>0.16760551022198825</v>
      </c>
    </row>
    <row r="78" spans="1:8" x14ac:dyDescent="0.3">
      <c r="A78" t="s">
        <v>127</v>
      </c>
      <c r="B78" s="13">
        <v>283.29000000000002</v>
      </c>
      <c r="C78" s="14">
        <v>2</v>
      </c>
      <c r="D78" s="13">
        <v>41.22</v>
      </c>
      <c r="E78" s="17">
        <f t="shared" si="6"/>
        <v>2.1063190069855293E-5</v>
      </c>
      <c r="F78">
        <f t="shared" si="7"/>
        <v>74</v>
      </c>
      <c r="G78" s="16">
        <f>SUM($B$5:B78)/SUM($B$5:$B$78)</f>
        <v>1</v>
      </c>
      <c r="H78" s="16">
        <f t="shared" si="8"/>
        <v>0.14550460658688974</v>
      </c>
    </row>
  </sheetData>
  <conditionalFormatting sqref="B5:B78">
    <cfRule type="dataBar" priority="2">
      <dataBar>
        <cfvo type="min"/>
        <cfvo type="max"/>
        <color rgb="FF2A78D6"/>
      </dataBar>
    </cfRule>
  </conditionalFormatting>
  <conditionalFormatting sqref="H5:H78">
    <cfRule type="colorScale" priority="1">
      <colorScale>
        <cfvo type="min"/>
        <cfvo type="max"/>
        <color rgb="FFFFFFFF"/>
        <color rgb="FFEB6834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7" customWidth="1"/>
    <col min="2" max="2" width="9" customWidth="1"/>
    <col min="3" max="3" width="14" customWidth="1"/>
    <col min="4" max="4" width="10" customWidth="1"/>
    <col min="5" max="5" width="8" customWidth="1"/>
    <col min="6" max="6" width="14" customWidth="1"/>
    <col min="7" max="7" width="11" customWidth="1"/>
    <col min="8" max="9" width="9" customWidth="1"/>
    <col min="10" max="10" width="11" customWidth="1"/>
    <col min="11" max="11" width="10" customWidth="1"/>
    <col min="12" max="12" width="15" customWidth="1"/>
  </cols>
  <sheetData>
    <row r="1" spans="1:12" ht="18" x14ac:dyDescent="0.35">
      <c r="A1" s="1" t="s">
        <v>128</v>
      </c>
    </row>
    <row r="2" spans="1:12" x14ac:dyDescent="0.3">
      <c r="A2" s="2" t="s">
        <v>129</v>
      </c>
      <c r="E2" t="s">
        <v>130</v>
      </c>
      <c r="F2" s="16">
        <f>SUM(E5:E31)/SUM(D5:D31)</f>
        <v>6.7887695809901977E-2</v>
      </c>
    </row>
    <row r="4" spans="1:12" ht="30" customHeight="1" x14ac:dyDescent="0.3">
      <c r="A4" s="3" t="s">
        <v>131</v>
      </c>
      <c r="B4" s="3" t="s">
        <v>5</v>
      </c>
      <c r="C4" s="3" t="s">
        <v>19</v>
      </c>
      <c r="D4" s="3" t="s">
        <v>132</v>
      </c>
      <c r="E4" s="3" t="s">
        <v>133</v>
      </c>
      <c r="F4" s="3" t="s">
        <v>134</v>
      </c>
      <c r="G4" s="3" t="s">
        <v>135</v>
      </c>
      <c r="H4" s="3" t="s">
        <v>136</v>
      </c>
      <c r="I4" s="3" t="s">
        <v>137</v>
      </c>
      <c r="J4" s="3" t="s">
        <v>138</v>
      </c>
      <c r="K4" s="3" t="s">
        <v>139</v>
      </c>
      <c r="L4" s="3" t="s">
        <v>140</v>
      </c>
    </row>
    <row r="5" spans="1:12" x14ac:dyDescent="0.3">
      <c r="A5" t="s">
        <v>141</v>
      </c>
      <c r="B5" s="14">
        <v>41021</v>
      </c>
      <c r="C5" s="13">
        <v>5150778.7</v>
      </c>
      <c r="D5" s="14">
        <v>40399</v>
      </c>
      <c r="E5" s="14">
        <v>1817</v>
      </c>
      <c r="F5" s="14">
        <v>352990.08880000003</v>
      </c>
      <c r="G5" s="14">
        <v>171695</v>
      </c>
      <c r="H5" s="14">
        <v>40762</v>
      </c>
      <c r="I5" s="16">
        <f t="shared" ref="I5:I31" si="0">IF(D5=0,"",E5/D5)</f>
        <v>4.4976360801009925E-2</v>
      </c>
      <c r="J5" s="18">
        <f t="shared" ref="J5:J31" si="1">IF(D5=0,"",F5/D5)</f>
        <v>8.7375947127404157</v>
      </c>
      <c r="K5" s="19">
        <f t="shared" ref="K5:K31" si="2">IF(H5=0,"",G5/H5)</f>
        <v>4.2121338501545553</v>
      </c>
      <c r="L5" t="str">
        <f t="shared" ref="L5:L31" si="3">IF(AND(D5&gt;=300,I5&gt;$F$2),"Above national","")</f>
        <v/>
      </c>
    </row>
    <row r="6" spans="1:12" x14ac:dyDescent="0.3">
      <c r="A6" t="s">
        <v>142</v>
      </c>
      <c r="B6" s="14">
        <v>12654</v>
      </c>
      <c r="C6" s="13">
        <v>1802436.24</v>
      </c>
      <c r="D6" s="14">
        <v>12310</v>
      </c>
      <c r="E6" s="14">
        <v>1495</v>
      </c>
      <c r="F6" s="14">
        <v>188304.20850000001</v>
      </c>
      <c r="G6" s="14">
        <v>48810</v>
      </c>
      <c r="H6" s="14">
        <v>12498</v>
      </c>
      <c r="I6" s="16">
        <f t="shared" si="0"/>
        <v>0.12144597887896019</v>
      </c>
      <c r="J6" s="18">
        <f t="shared" si="1"/>
        <v>15.296848781478474</v>
      </c>
      <c r="K6" s="19">
        <f t="shared" si="2"/>
        <v>3.9054248679788768</v>
      </c>
      <c r="L6" t="str">
        <f t="shared" si="3"/>
        <v>Above national</v>
      </c>
    </row>
    <row r="7" spans="1:12" x14ac:dyDescent="0.3">
      <c r="A7" t="s">
        <v>143</v>
      </c>
      <c r="B7" s="14">
        <v>11457</v>
      </c>
      <c r="C7" s="13">
        <v>1568855.98</v>
      </c>
      <c r="D7" s="14">
        <v>11319</v>
      </c>
      <c r="E7" s="14">
        <v>519</v>
      </c>
      <c r="F7" s="14">
        <v>135652.8849</v>
      </c>
      <c r="G7" s="14">
        <v>47431</v>
      </c>
      <c r="H7" s="14">
        <v>11384</v>
      </c>
      <c r="I7" s="16">
        <f t="shared" si="0"/>
        <v>4.5852107076596871E-2</v>
      </c>
      <c r="J7" s="18">
        <f t="shared" si="1"/>
        <v>11.984529101510734</v>
      </c>
      <c r="K7" s="19">
        <f t="shared" si="2"/>
        <v>4.1664617006324667</v>
      </c>
      <c r="L7" t="str">
        <f t="shared" si="3"/>
        <v/>
      </c>
    </row>
    <row r="8" spans="1:12" x14ac:dyDescent="0.3">
      <c r="A8" t="s">
        <v>144</v>
      </c>
      <c r="B8" s="14">
        <v>5395</v>
      </c>
      <c r="C8" s="13">
        <v>739357.46</v>
      </c>
      <c r="D8" s="14">
        <v>5327</v>
      </c>
      <c r="E8" s="14">
        <v>325</v>
      </c>
      <c r="F8" s="14">
        <v>81442.758400000006</v>
      </c>
      <c r="G8" s="14">
        <v>22336</v>
      </c>
      <c r="H8" s="14">
        <v>5375</v>
      </c>
      <c r="I8" s="16">
        <f t="shared" si="0"/>
        <v>6.1009949314811338E-2</v>
      </c>
      <c r="J8" s="18">
        <f t="shared" si="1"/>
        <v>15.28867249859208</v>
      </c>
      <c r="K8" s="19">
        <f t="shared" si="2"/>
        <v>4.1555348837209305</v>
      </c>
      <c r="L8" t="str">
        <f t="shared" si="3"/>
        <v/>
      </c>
    </row>
    <row r="9" spans="1:12" x14ac:dyDescent="0.3">
      <c r="A9" t="s">
        <v>145</v>
      </c>
      <c r="B9" s="14">
        <v>4962</v>
      </c>
      <c r="C9" s="13">
        <v>674867.55</v>
      </c>
      <c r="D9" s="14">
        <v>4903</v>
      </c>
      <c r="E9" s="14">
        <v>199</v>
      </c>
      <c r="F9" s="14">
        <v>58704.350700000003</v>
      </c>
      <c r="G9" s="14">
        <v>20791</v>
      </c>
      <c r="H9" s="14">
        <v>4936</v>
      </c>
      <c r="I9" s="16">
        <f t="shared" si="0"/>
        <v>4.05873954721599E-2</v>
      </c>
      <c r="J9" s="18">
        <f t="shared" si="1"/>
        <v>11.973149235162147</v>
      </c>
      <c r="K9" s="19">
        <f t="shared" si="2"/>
        <v>4.2121150729335497</v>
      </c>
      <c r="L9" t="str">
        <f t="shared" si="3"/>
        <v/>
      </c>
    </row>
    <row r="10" spans="1:12" x14ac:dyDescent="0.3">
      <c r="A10" t="s">
        <v>146</v>
      </c>
      <c r="B10" s="14">
        <v>3590</v>
      </c>
      <c r="C10" s="13">
        <v>516340.22</v>
      </c>
      <c r="D10" s="14">
        <v>3537</v>
      </c>
      <c r="E10" s="14">
        <v>291</v>
      </c>
      <c r="F10" s="14">
        <v>52864.497100000001</v>
      </c>
      <c r="G10" s="14">
        <v>14604</v>
      </c>
      <c r="H10" s="14">
        <v>3562</v>
      </c>
      <c r="I10" s="16">
        <f t="shared" si="0"/>
        <v>8.2273112807463952E-2</v>
      </c>
      <c r="J10" s="18">
        <f t="shared" si="1"/>
        <v>14.946139977381963</v>
      </c>
      <c r="K10" s="19">
        <f t="shared" si="2"/>
        <v>4.0999438517686695</v>
      </c>
      <c r="L10" t="str">
        <f t="shared" si="3"/>
        <v>Above national</v>
      </c>
    </row>
    <row r="11" spans="1:12" x14ac:dyDescent="0.3">
      <c r="A11" t="s">
        <v>147</v>
      </c>
      <c r="B11" s="14">
        <v>3340</v>
      </c>
      <c r="C11" s="13">
        <v>506214.78</v>
      </c>
      <c r="D11" s="14">
        <v>3253</v>
      </c>
      <c r="E11" s="14">
        <v>396</v>
      </c>
      <c r="F11" s="14">
        <v>62893.936699999998</v>
      </c>
      <c r="G11" s="14">
        <v>12822</v>
      </c>
      <c r="H11" s="14">
        <v>3301</v>
      </c>
      <c r="I11" s="16">
        <f t="shared" si="0"/>
        <v>0.12173378419920074</v>
      </c>
      <c r="J11" s="18">
        <f t="shared" si="1"/>
        <v>19.334133630494929</v>
      </c>
      <c r="K11" s="19">
        <f t="shared" si="2"/>
        <v>3.8842774916691911</v>
      </c>
      <c r="L11" t="str">
        <f t="shared" si="3"/>
        <v>Above national</v>
      </c>
    </row>
    <row r="12" spans="1:12" x14ac:dyDescent="0.3">
      <c r="A12" t="s">
        <v>148</v>
      </c>
      <c r="B12" s="14">
        <v>2114</v>
      </c>
      <c r="C12" s="13">
        <v>299842.68</v>
      </c>
      <c r="D12" s="14">
        <v>2074</v>
      </c>
      <c r="E12" s="14">
        <v>118</v>
      </c>
      <c r="F12" s="14">
        <v>26834.5978</v>
      </c>
      <c r="G12" s="14">
        <v>8604</v>
      </c>
      <c r="H12" s="14">
        <v>2104</v>
      </c>
      <c r="I12" s="16">
        <f t="shared" si="0"/>
        <v>5.6894889103182258E-2</v>
      </c>
      <c r="J12" s="18">
        <f t="shared" si="1"/>
        <v>12.938571745419479</v>
      </c>
      <c r="K12" s="19">
        <f t="shared" si="2"/>
        <v>4.0893536121673</v>
      </c>
      <c r="L12" t="str">
        <f t="shared" si="3"/>
        <v/>
      </c>
    </row>
    <row r="13" spans="1:12" x14ac:dyDescent="0.3">
      <c r="A13" t="s">
        <v>149</v>
      </c>
      <c r="B13" s="14">
        <v>2014</v>
      </c>
      <c r="C13" s="13">
        <v>272614.34000000003</v>
      </c>
      <c r="D13" s="14">
        <v>1992</v>
      </c>
      <c r="E13" s="14">
        <v>214</v>
      </c>
      <c r="F13" s="14">
        <v>31425.265299999999</v>
      </c>
      <c r="G13" s="14">
        <v>8056</v>
      </c>
      <c r="H13" s="14">
        <v>1987</v>
      </c>
      <c r="I13" s="16">
        <f t="shared" si="0"/>
        <v>0.10742971887550201</v>
      </c>
      <c r="J13" s="18">
        <f t="shared" si="1"/>
        <v>15.775735592369477</v>
      </c>
      <c r="K13" s="19">
        <f t="shared" si="2"/>
        <v>4.0543532964267737</v>
      </c>
      <c r="L13" t="str">
        <f t="shared" si="3"/>
        <v>Above national</v>
      </c>
    </row>
    <row r="14" spans="1:12" x14ac:dyDescent="0.3">
      <c r="A14" t="s">
        <v>150</v>
      </c>
      <c r="B14" s="14">
        <v>1990</v>
      </c>
      <c r="C14" s="13">
        <v>286886.07</v>
      </c>
      <c r="D14" s="14">
        <v>1950</v>
      </c>
      <c r="E14" s="14">
        <v>128</v>
      </c>
      <c r="F14" s="14">
        <v>30442.644199999999</v>
      </c>
      <c r="G14" s="14">
        <v>8044</v>
      </c>
      <c r="H14" s="14">
        <v>1977</v>
      </c>
      <c r="I14" s="16">
        <f t="shared" si="0"/>
        <v>6.5641025641025641E-2</v>
      </c>
      <c r="J14" s="18">
        <f t="shared" si="1"/>
        <v>15.611612410256409</v>
      </c>
      <c r="K14" s="19">
        <f t="shared" si="2"/>
        <v>4.0687910976226602</v>
      </c>
      <c r="L14" t="str">
        <f t="shared" si="3"/>
        <v/>
      </c>
    </row>
    <row r="15" spans="1:12" x14ac:dyDescent="0.3">
      <c r="A15" t="s">
        <v>151</v>
      </c>
      <c r="B15" s="14">
        <v>1636</v>
      </c>
      <c r="C15" s="13">
        <v>260370.84</v>
      </c>
      <c r="D15" s="14">
        <v>1587</v>
      </c>
      <c r="E15" s="14">
        <v>153</v>
      </c>
      <c r="F15" s="14">
        <v>29279.9542</v>
      </c>
      <c r="G15" s="14">
        <v>6509</v>
      </c>
      <c r="H15" s="14">
        <v>1619</v>
      </c>
      <c r="I15" s="16">
        <f t="shared" si="0"/>
        <v>9.6408317580340269E-2</v>
      </c>
      <c r="J15" s="18">
        <f t="shared" si="1"/>
        <v>18.449876622558286</v>
      </c>
      <c r="K15" s="19">
        <f t="shared" si="2"/>
        <v>4.0203829524397774</v>
      </c>
      <c r="L15" t="str">
        <f t="shared" si="3"/>
        <v>Above national</v>
      </c>
    </row>
    <row r="16" spans="1:12" x14ac:dyDescent="0.3">
      <c r="A16" t="s">
        <v>152</v>
      </c>
      <c r="B16" s="14">
        <v>1316</v>
      </c>
      <c r="C16" s="13">
        <v>224574.68</v>
      </c>
      <c r="D16" s="14">
        <v>1273</v>
      </c>
      <c r="E16" s="14">
        <v>176</v>
      </c>
      <c r="F16" s="14">
        <v>27036.5576</v>
      </c>
      <c r="G16" s="14">
        <v>5067</v>
      </c>
      <c r="H16" s="14">
        <v>1307</v>
      </c>
      <c r="I16" s="16">
        <f t="shared" si="0"/>
        <v>0.13825608798114689</v>
      </c>
      <c r="J16" s="18">
        <f t="shared" si="1"/>
        <v>21.23845844461901</v>
      </c>
      <c r="K16" s="19">
        <f t="shared" si="2"/>
        <v>3.8768171384850802</v>
      </c>
      <c r="L16" t="str">
        <f t="shared" si="3"/>
        <v>Above national</v>
      </c>
    </row>
    <row r="17" spans="1:12" x14ac:dyDescent="0.3">
      <c r="A17" t="s">
        <v>153</v>
      </c>
      <c r="B17" s="14">
        <v>965</v>
      </c>
      <c r="C17" s="13">
        <v>177733.52</v>
      </c>
      <c r="D17" s="14">
        <v>942</v>
      </c>
      <c r="E17" s="14">
        <v>106</v>
      </c>
      <c r="F17" s="14">
        <v>22379.180700000001</v>
      </c>
      <c r="G17" s="14">
        <v>3675</v>
      </c>
      <c r="H17" s="14">
        <v>952</v>
      </c>
      <c r="I17" s="16">
        <f t="shared" si="0"/>
        <v>0.11252653927813164</v>
      </c>
      <c r="J17" s="18">
        <f t="shared" si="1"/>
        <v>23.757092038216562</v>
      </c>
      <c r="K17" s="19">
        <f t="shared" si="2"/>
        <v>3.8602941176470589</v>
      </c>
      <c r="L17" t="str">
        <f t="shared" si="3"/>
        <v>Above national</v>
      </c>
    </row>
    <row r="18" spans="1:12" x14ac:dyDescent="0.3">
      <c r="A18" t="s">
        <v>154</v>
      </c>
      <c r="B18" s="14">
        <v>900</v>
      </c>
      <c r="C18" s="13">
        <v>155985.74</v>
      </c>
      <c r="D18" s="14">
        <v>885</v>
      </c>
      <c r="E18" s="14">
        <v>53</v>
      </c>
      <c r="F18" s="14">
        <v>15990.3755</v>
      </c>
      <c r="G18" s="14">
        <v>3672</v>
      </c>
      <c r="H18" s="14">
        <v>893</v>
      </c>
      <c r="I18" s="16">
        <f t="shared" si="0"/>
        <v>5.9887005649717516E-2</v>
      </c>
      <c r="J18" s="18">
        <f t="shared" si="1"/>
        <v>18.068220903954803</v>
      </c>
      <c r="K18" s="19">
        <f t="shared" si="2"/>
        <v>4.1119820828667413</v>
      </c>
      <c r="L18" t="str">
        <f t="shared" si="3"/>
        <v/>
      </c>
    </row>
    <row r="19" spans="1:12" x14ac:dyDescent="0.3">
      <c r="A19" t="s">
        <v>155</v>
      </c>
      <c r="B19" s="14">
        <v>732</v>
      </c>
      <c r="C19" s="13">
        <v>118587.36</v>
      </c>
      <c r="D19" s="14">
        <v>713</v>
      </c>
      <c r="E19" s="14">
        <v>125</v>
      </c>
      <c r="F19" s="14">
        <v>15354.8518</v>
      </c>
      <c r="G19" s="14">
        <v>2750</v>
      </c>
      <c r="H19" s="14">
        <v>728</v>
      </c>
      <c r="I19" s="16">
        <f t="shared" si="0"/>
        <v>0.17531556802244039</v>
      </c>
      <c r="J19" s="18">
        <f t="shared" si="1"/>
        <v>21.535556521739132</v>
      </c>
      <c r="K19" s="19">
        <f t="shared" si="2"/>
        <v>3.7774725274725274</v>
      </c>
      <c r="L19" t="str">
        <f t="shared" si="3"/>
        <v>Above national</v>
      </c>
    </row>
    <row r="20" spans="1:12" x14ac:dyDescent="0.3">
      <c r="A20" t="s">
        <v>156</v>
      </c>
      <c r="B20" s="14">
        <v>708</v>
      </c>
      <c r="C20" s="13">
        <v>116754.65</v>
      </c>
      <c r="D20" s="14">
        <v>701</v>
      </c>
      <c r="E20" s="14">
        <v>68</v>
      </c>
      <c r="F20" s="14">
        <v>10948.4416</v>
      </c>
      <c r="G20" s="14">
        <v>2922</v>
      </c>
      <c r="H20" s="14">
        <v>706</v>
      </c>
      <c r="I20" s="16">
        <f t="shared" si="0"/>
        <v>9.700427960057062E-2</v>
      </c>
      <c r="J20" s="18">
        <f t="shared" si="1"/>
        <v>15.618318972895864</v>
      </c>
      <c r="K20" s="19">
        <f t="shared" si="2"/>
        <v>4.1388101983002832</v>
      </c>
      <c r="L20" t="str">
        <f t="shared" si="3"/>
        <v>Above national</v>
      </c>
    </row>
    <row r="21" spans="1:12" x14ac:dyDescent="0.3">
      <c r="A21" t="s">
        <v>157</v>
      </c>
      <c r="B21" s="14">
        <v>530</v>
      </c>
      <c r="C21" s="13">
        <v>114824.2</v>
      </c>
      <c r="D21" s="14">
        <v>516</v>
      </c>
      <c r="E21" s="14">
        <v>54</v>
      </c>
      <c r="F21" s="14">
        <v>10522.919400000001</v>
      </c>
      <c r="G21" s="14">
        <v>2109</v>
      </c>
      <c r="H21" s="14">
        <v>524</v>
      </c>
      <c r="I21" s="16">
        <f t="shared" si="0"/>
        <v>0.10465116279069768</v>
      </c>
      <c r="J21" s="18">
        <f t="shared" si="1"/>
        <v>20.393254651162792</v>
      </c>
      <c r="K21" s="19">
        <f t="shared" si="2"/>
        <v>4.0248091603053435</v>
      </c>
      <c r="L21" t="str">
        <f t="shared" si="3"/>
        <v>Above national</v>
      </c>
    </row>
    <row r="22" spans="1:12" x14ac:dyDescent="0.3">
      <c r="A22" t="s">
        <v>158</v>
      </c>
      <c r="B22" s="14">
        <v>489</v>
      </c>
      <c r="C22" s="13">
        <v>86450.09</v>
      </c>
      <c r="D22" s="14">
        <v>475</v>
      </c>
      <c r="E22" s="14">
        <v>66</v>
      </c>
      <c r="F22" s="14">
        <v>9234.3950000000004</v>
      </c>
      <c r="G22" s="14">
        <v>1904</v>
      </c>
      <c r="H22" s="14">
        <v>484</v>
      </c>
      <c r="I22" s="16">
        <f t="shared" si="0"/>
        <v>0.13894736842105262</v>
      </c>
      <c r="J22" s="18">
        <f t="shared" si="1"/>
        <v>19.440831578947368</v>
      </c>
      <c r="K22" s="19">
        <f t="shared" si="2"/>
        <v>3.9338842975206614</v>
      </c>
      <c r="L22" t="str">
        <f t="shared" si="3"/>
        <v>Above national</v>
      </c>
    </row>
    <row r="23" spans="1:12" x14ac:dyDescent="0.3">
      <c r="A23" t="s">
        <v>159</v>
      </c>
      <c r="B23" s="14">
        <v>478</v>
      </c>
      <c r="C23" s="13">
        <v>82306.289999999994</v>
      </c>
      <c r="D23" s="14">
        <v>470</v>
      </c>
      <c r="E23" s="14">
        <v>44</v>
      </c>
      <c r="F23" s="14">
        <v>9029.1298000000006</v>
      </c>
      <c r="G23" s="14">
        <v>1946</v>
      </c>
      <c r="H23" s="14">
        <v>474</v>
      </c>
      <c r="I23" s="16">
        <f t="shared" si="0"/>
        <v>9.3617021276595741E-2</v>
      </c>
      <c r="J23" s="18">
        <f t="shared" si="1"/>
        <v>19.210914468085107</v>
      </c>
      <c r="K23" s="19">
        <f t="shared" si="2"/>
        <v>4.1054852320675108</v>
      </c>
      <c r="L23" t="str">
        <f t="shared" si="3"/>
        <v>Above national</v>
      </c>
    </row>
    <row r="24" spans="1:12" x14ac:dyDescent="0.3">
      <c r="A24" t="s">
        <v>160</v>
      </c>
      <c r="B24" s="14">
        <v>409</v>
      </c>
      <c r="C24" s="13">
        <v>80232.320000000007</v>
      </c>
      <c r="D24" s="14">
        <v>396</v>
      </c>
      <c r="E24" s="14">
        <v>85</v>
      </c>
      <c r="F24" s="14">
        <v>9710.8462999999992</v>
      </c>
      <c r="G24" s="14">
        <v>1529</v>
      </c>
      <c r="H24" s="14">
        <v>406</v>
      </c>
      <c r="I24" s="16">
        <f t="shared" si="0"/>
        <v>0.21464646464646464</v>
      </c>
      <c r="J24" s="18">
        <f t="shared" si="1"/>
        <v>24.52233914141414</v>
      </c>
      <c r="K24" s="19">
        <f t="shared" si="2"/>
        <v>3.7660098522167487</v>
      </c>
      <c r="L24" t="str">
        <f t="shared" si="3"/>
        <v>Above national</v>
      </c>
    </row>
    <row r="25" spans="1:12" x14ac:dyDescent="0.3">
      <c r="A25" t="s">
        <v>161</v>
      </c>
      <c r="B25" s="14">
        <v>342</v>
      </c>
      <c r="C25" s="13">
        <v>58635.4</v>
      </c>
      <c r="D25" s="14">
        <v>332</v>
      </c>
      <c r="E25" s="14">
        <v>51</v>
      </c>
      <c r="F25" s="14">
        <v>7117.6193000000003</v>
      </c>
      <c r="G25" s="14">
        <v>1306</v>
      </c>
      <c r="H25" s="14">
        <v>341</v>
      </c>
      <c r="I25" s="16">
        <f t="shared" si="0"/>
        <v>0.1536144578313253</v>
      </c>
      <c r="J25" s="18">
        <f t="shared" si="1"/>
        <v>21.438612349397591</v>
      </c>
      <c r="K25" s="19">
        <f t="shared" si="2"/>
        <v>3.8299120234604107</v>
      </c>
      <c r="L25" t="str">
        <f t="shared" si="3"/>
        <v>Above national</v>
      </c>
    </row>
    <row r="26" spans="1:12" x14ac:dyDescent="0.3">
      <c r="A26" t="s">
        <v>162</v>
      </c>
      <c r="B26" s="14">
        <v>278</v>
      </c>
      <c r="C26" s="13">
        <v>49407.99</v>
      </c>
      <c r="D26" s="14">
        <v>274</v>
      </c>
      <c r="E26" s="14">
        <v>27</v>
      </c>
      <c r="F26" s="14">
        <v>4838.3091999999997</v>
      </c>
      <c r="G26" s="14">
        <v>1139</v>
      </c>
      <c r="H26" s="14">
        <v>277</v>
      </c>
      <c r="I26" s="16">
        <f t="shared" si="0"/>
        <v>9.8540145985401464E-2</v>
      </c>
      <c r="J26" s="18">
        <f t="shared" si="1"/>
        <v>17.658062773722627</v>
      </c>
      <c r="K26" s="19">
        <f t="shared" si="2"/>
        <v>4.1119133574007218</v>
      </c>
      <c r="L26" t="str">
        <f t="shared" si="3"/>
        <v/>
      </c>
    </row>
    <row r="27" spans="1:12" x14ac:dyDescent="0.3">
      <c r="A27" t="s">
        <v>163</v>
      </c>
      <c r="B27" s="14">
        <v>246</v>
      </c>
      <c r="C27" s="13">
        <v>46031.64</v>
      </c>
      <c r="D27" s="14">
        <v>243</v>
      </c>
      <c r="E27" s="14">
        <v>7</v>
      </c>
      <c r="F27" s="14">
        <v>4707.4049000000005</v>
      </c>
      <c r="G27" s="14">
        <v>1012</v>
      </c>
      <c r="H27" s="14">
        <v>245</v>
      </c>
      <c r="I27" s="16">
        <f t="shared" si="0"/>
        <v>2.8806584362139918E-2</v>
      </c>
      <c r="J27" s="18">
        <f t="shared" si="1"/>
        <v>19.372036625514404</v>
      </c>
      <c r="K27" s="19">
        <f t="shared" si="2"/>
        <v>4.130612244897959</v>
      </c>
      <c r="L27" t="str">
        <f t="shared" si="3"/>
        <v/>
      </c>
    </row>
    <row r="28" spans="1:12" x14ac:dyDescent="0.3">
      <c r="A28" t="s">
        <v>164</v>
      </c>
      <c r="B28" s="14">
        <v>147</v>
      </c>
      <c r="C28" s="13">
        <v>22356.84</v>
      </c>
      <c r="D28" s="14">
        <v>145</v>
      </c>
      <c r="E28" s="14">
        <v>4</v>
      </c>
      <c r="F28" s="14">
        <v>3831.7687000000001</v>
      </c>
      <c r="G28" s="14">
        <v>612</v>
      </c>
      <c r="H28" s="14">
        <v>145</v>
      </c>
      <c r="I28" s="16">
        <f t="shared" si="0"/>
        <v>2.7586206896551724E-2</v>
      </c>
      <c r="J28" s="18">
        <f t="shared" si="1"/>
        <v>26.42599103448276</v>
      </c>
      <c r="K28" s="19">
        <f t="shared" si="2"/>
        <v>4.2206896551724142</v>
      </c>
      <c r="L28" t="str">
        <f t="shared" si="3"/>
        <v/>
      </c>
    </row>
    <row r="29" spans="1:12" x14ac:dyDescent="0.3">
      <c r="A29" t="s">
        <v>165</v>
      </c>
      <c r="B29" s="14">
        <v>81</v>
      </c>
      <c r="C29" s="13">
        <v>15982.95</v>
      </c>
      <c r="D29" s="14">
        <v>80</v>
      </c>
      <c r="E29" s="14">
        <v>3</v>
      </c>
      <c r="F29" s="14">
        <v>1682.857</v>
      </c>
      <c r="G29" s="14">
        <v>328</v>
      </c>
      <c r="H29" s="14">
        <v>81</v>
      </c>
      <c r="I29" s="16">
        <f t="shared" si="0"/>
        <v>3.7499999999999999E-2</v>
      </c>
      <c r="J29" s="18">
        <f t="shared" si="1"/>
        <v>21.035712499999999</v>
      </c>
      <c r="K29" s="19">
        <f t="shared" si="2"/>
        <v>4.0493827160493829</v>
      </c>
      <c r="L29" t="str">
        <f t="shared" si="3"/>
        <v/>
      </c>
    </row>
    <row r="30" spans="1:12" x14ac:dyDescent="0.3">
      <c r="A30" t="s">
        <v>166</v>
      </c>
      <c r="B30" s="14">
        <v>68</v>
      </c>
      <c r="C30" s="13">
        <v>13474.3</v>
      </c>
      <c r="D30" s="14">
        <v>67</v>
      </c>
      <c r="E30" s="14">
        <v>2</v>
      </c>
      <c r="F30" s="14">
        <v>1821.3995</v>
      </c>
      <c r="G30" s="14">
        <v>281</v>
      </c>
      <c r="H30" s="14">
        <v>67</v>
      </c>
      <c r="I30" s="16">
        <f t="shared" si="0"/>
        <v>2.9850746268656716E-2</v>
      </c>
      <c r="J30" s="18">
        <f t="shared" si="1"/>
        <v>27.185067164179106</v>
      </c>
      <c r="K30" s="19">
        <f t="shared" si="2"/>
        <v>4.1940298507462686</v>
      </c>
      <c r="L30" t="str">
        <f t="shared" si="3"/>
        <v/>
      </c>
    </row>
    <row r="31" spans="1:12" x14ac:dyDescent="0.3">
      <c r="A31" t="s">
        <v>167</v>
      </c>
      <c r="B31" s="14">
        <v>43</v>
      </c>
      <c r="C31" s="13">
        <v>7626.85</v>
      </c>
      <c r="D31" s="14">
        <v>40</v>
      </c>
      <c r="E31" s="14">
        <v>5</v>
      </c>
      <c r="F31" s="14">
        <v>1196.3063</v>
      </c>
      <c r="G31" s="14">
        <v>159</v>
      </c>
      <c r="H31" s="14">
        <v>43</v>
      </c>
      <c r="I31" s="16">
        <f t="shared" si="0"/>
        <v>0.125</v>
      </c>
      <c r="J31" s="18">
        <f t="shared" si="1"/>
        <v>29.907657499999999</v>
      </c>
      <c r="K31" s="19">
        <f t="shared" si="2"/>
        <v>3.6976744186046511</v>
      </c>
      <c r="L31" t="str">
        <f t="shared" si="3"/>
        <v/>
      </c>
    </row>
  </sheetData>
  <conditionalFormatting sqref="I5:I31">
    <cfRule type="colorScale" priority="1">
      <colorScale>
        <cfvo type="min"/>
        <cfvo type="max"/>
        <color rgb="FFFFFFFF"/>
        <color rgb="FFD03B3B"/>
      </colorScale>
    </cfRule>
  </conditionalFormatting>
  <conditionalFormatting sqref="K5:K31">
    <cfRule type="colorScale" priority="2">
      <colorScale>
        <cfvo type="min"/>
        <cfvo type="percentile" val="50"/>
        <cfvo type="max"/>
        <color rgb="FFD03B3B"/>
        <color rgb="FFFFFFFF"/>
        <color rgb="FF2A78D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RowHeight="14.4" x14ac:dyDescent="0.3"/>
  <cols>
    <col min="1" max="1" width="16" customWidth="1"/>
    <col min="2" max="2" width="11" customWidth="1"/>
    <col min="3" max="4" width="14" customWidth="1"/>
    <col min="5" max="5" width="13" customWidth="1"/>
    <col min="6" max="6" width="18" customWidth="1"/>
    <col min="7" max="7" width="14" customWidth="1"/>
  </cols>
  <sheetData>
    <row r="1" spans="1:7" ht="18" x14ac:dyDescent="0.35">
      <c r="A1" s="1" t="s">
        <v>168</v>
      </c>
    </row>
    <row r="2" spans="1:7" x14ac:dyDescent="0.3">
      <c r="A2" s="2" t="s">
        <v>169</v>
      </c>
    </row>
    <row r="4" spans="1:7" ht="30" customHeight="1" x14ac:dyDescent="0.3">
      <c r="A4" s="3" t="s">
        <v>170</v>
      </c>
      <c r="B4" s="3" t="s">
        <v>7</v>
      </c>
      <c r="C4" s="3" t="s">
        <v>19</v>
      </c>
      <c r="D4" s="3" t="s">
        <v>171</v>
      </c>
      <c r="E4" s="3" t="s">
        <v>50</v>
      </c>
      <c r="F4" s="3" t="s">
        <v>172</v>
      </c>
      <c r="G4" s="3" t="s">
        <v>173</v>
      </c>
    </row>
    <row r="5" spans="1:7" x14ac:dyDescent="0.3">
      <c r="A5" t="s">
        <v>174</v>
      </c>
      <c r="B5" s="14">
        <v>14682</v>
      </c>
      <c r="C5" s="13">
        <v>3934361.32</v>
      </c>
      <c r="D5" s="16">
        <f t="shared" ref="D5:D11" si="0">B5/SUM($B$5:$B$11)</f>
        <v>0.15503204755921143</v>
      </c>
      <c r="E5" s="16">
        <f t="shared" ref="E5:E11" si="1">C5/SUM($C$5:$C$11)</f>
        <v>0.29252779329100059</v>
      </c>
      <c r="F5" s="15">
        <f t="shared" ref="F5:F11" si="2">C5/B5</f>
        <v>267.97175589156791</v>
      </c>
      <c r="G5" t="s">
        <v>175</v>
      </c>
    </row>
    <row r="6" spans="1:7" x14ac:dyDescent="0.3">
      <c r="A6" t="s">
        <v>176</v>
      </c>
      <c r="B6" s="14">
        <v>14097</v>
      </c>
      <c r="C6" s="13">
        <v>3723194.01</v>
      </c>
      <c r="D6" s="16">
        <f t="shared" si="0"/>
        <v>0.14885484092372997</v>
      </c>
      <c r="E6" s="16">
        <f t="shared" si="1"/>
        <v>0.27682707284738445</v>
      </c>
      <c r="F6" s="15">
        <f t="shared" si="2"/>
        <v>264.11250691636519</v>
      </c>
      <c r="G6" t="s">
        <v>175</v>
      </c>
    </row>
    <row r="7" spans="1:7" x14ac:dyDescent="0.3">
      <c r="A7" t="s">
        <v>177</v>
      </c>
      <c r="B7" s="14">
        <v>18487</v>
      </c>
      <c r="C7" s="13">
        <v>2560725.65</v>
      </c>
      <c r="D7" s="16">
        <f t="shared" si="0"/>
        <v>0.19521028900879592</v>
      </c>
      <c r="E7" s="16">
        <f t="shared" si="1"/>
        <v>0.19039517794419633</v>
      </c>
      <c r="F7" s="15">
        <f t="shared" si="2"/>
        <v>138.51493752366528</v>
      </c>
      <c r="G7" t="s">
        <v>175</v>
      </c>
    </row>
    <row r="8" spans="1:7" x14ac:dyDescent="0.3">
      <c r="A8" t="s">
        <v>178</v>
      </c>
      <c r="B8" s="14">
        <v>22590</v>
      </c>
      <c r="C8" s="13">
        <v>1262090.52</v>
      </c>
      <c r="D8" s="16">
        <f t="shared" si="0"/>
        <v>0.23853521007782225</v>
      </c>
      <c r="E8" s="16">
        <f t="shared" si="1"/>
        <v>9.3839005805672032E-2</v>
      </c>
      <c r="F8" s="15">
        <f t="shared" si="2"/>
        <v>55.869434262948211</v>
      </c>
      <c r="G8" t="s">
        <v>175</v>
      </c>
    </row>
    <row r="9" spans="1:7" x14ac:dyDescent="0.3">
      <c r="A9" t="s">
        <v>179</v>
      </c>
      <c r="B9" s="14">
        <v>21973</v>
      </c>
      <c r="C9" s="13">
        <v>1222033.46</v>
      </c>
      <c r="D9" s="16">
        <f t="shared" si="0"/>
        <v>0.23202010495971617</v>
      </c>
      <c r="E9" s="16">
        <f t="shared" si="1"/>
        <v>9.0860681647197128E-2</v>
      </c>
      <c r="F9" s="15">
        <f t="shared" si="2"/>
        <v>55.615230510171571</v>
      </c>
      <c r="G9" t="s">
        <v>175</v>
      </c>
    </row>
    <row r="10" spans="1:7" x14ac:dyDescent="0.3">
      <c r="A10" t="s">
        <v>180</v>
      </c>
      <c r="B10" s="14">
        <v>1649</v>
      </c>
      <c r="C10" s="13">
        <v>416297</v>
      </c>
      <c r="D10" s="16">
        <f t="shared" si="0"/>
        <v>1.7412331182750283E-2</v>
      </c>
      <c r="E10" s="16">
        <f t="shared" si="1"/>
        <v>3.0952531518804095E-2</v>
      </c>
      <c r="F10" s="15">
        <f t="shared" si="2"/>
        <v>252.45421467556093</v>
      </c>
      <c r="G10" t="s">
        <v>181</v>
      </c>
    </row>
    <row r="11" spans="1:7" x14ac:dyDescent="0.3">
      <c r="A11" t="s">
        <v>182</v>
      </c>
      <c r="B11" s="14">
        <v>1225</v>
      </c>
      <c r="C11" s="13">
        <v>330828</v>
      </c>
      <c r="D11" s="16">
        <f t="shared" si="0"/>
        <v>1.2935176287973981E-2</v>
      </c>
      <c r="E11" s="16">
        <f t="shared" si="1"/>
        <v>2.4597736945745276E-2</v>
      </c>
      <c r="F11" s="15">
        <f t="shared" si="2"/>
        <v>270.06367346938777</v>
      </c>
      <c r="G11" t="s">
        <v>181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defaultRowHeight="14.4" x14ac:dyDescent="0.3"/>
  <cols>
    <col min="1" max="1" width="14" customWidth="1"/>
    <col min="2" max="2" width="10" customWidth="1"/>
    <col min="3" max="3" width="14" customWidth="1"/>
    <col min="4" max="4" width="12" customWidth="1"/>
    <col min="5" max="5" width="11" customWidth="1"/>
  </cols>
  <sheetData>
    <row r="1" spans="1:5" ht="18" x14ac:dyDescent="0.35">
      <c r="A1" s="1" t="s">
        <v>183</v>
      </c>
    </row>
    <row r="2" spans="1:5" x14ac:dyDescent="0.3">
      <c r="A2" s="2" t="s">
        <v>184</v>
      </c>
    </row>
    <row r="4" spans="1:5" ht="30" customHeight="1" x14ac:dyDescent="0.3">
      <c r="A4" s="3" t="s">
        <v>185</v>
      </c>
      <c r="B4" s="3" t="s">
        <v>5</v>
      </c>
      <c r="C4" s="3" t="s">
        <v>19</v>
      </c>
      <c r="D4" s="3" t="s">
        <v>186</v>
      </c>
      <c r="E4" s="3" t="s">
        <v>21</v>
      </c>
    </row>
    <row r="5" spans="1:5" x14ac:dyDescent="0.3">
      <c r="A5" t="s">
        <v>187</v>
      </c>
      <c r="B5" s="14">
        <v>73888</v>
      </c>
      <c r="C5" s="13">
        <v>10611370.140000001</v>
      </c>
      <c r="D5" s="16">
        <f>B5/SUM($B$5:$B$8)</f>
        <v>0.7546907716664113</v>
      </c>
      <c r="E5" s="15">
        <f>C5/B5</f>
        <v>143.61425590082288</v>
      </c>
    </row>
    <row r="6" spans="1:5" x14ac:dyDescent="0.3">
      <c r="A6" t="s">
        <v>188</v>
      </c>
      <c r="B6" s="14">
        <v>19477</v>
      </c>
      <c r="C6" s="13">
        <v>2369919.1</v>
      </c>
      <c r="D6" s="16">
        <f>B6/SUM($B$5:$B$8)</f>
        <v>0.19893774577396456</v>
      </c>
      <c r="E6" s="15">
        <f>C6/B6</f>
        <v>121.67783026133388</v>
      </c>
    </row>
    <row r="7" spans="1:5" x14ac:dyDescent="0.3">
      <c r="A7" t="s">
        <v>189</v>
      </c>
      <c r="B7" s="14">
        <v>3028</v>
      </c>
      <c r="C7" s="13">
        <v>287339.61</v>
      </c>
      <c r="D7" s="16">
        <f>B7/SUM($B$5:$B$8)</f>
        <v>3.0927940350339616E-2</v>
      </c>
      <c r="E7" s="15">
        <f>C7/B7</f>
        <v>94.894190885072646</v>
      </c>
    </row>
    <row r="8" spans="1:5" x14ac:dyDescent="0.3">
      <c r="A8" t="s">
        <v>190</v>
      </c>
      <c r="B8" s="14">
        <v>1512</v>
      </c>
      <c r="C8" s="13">
        <v>180900.83</v>
      </c>
      <c r="D8" s="16">
        <f>B8/SUM($B$5:$B$8)</f>
        <v>1.5443542209284511E-2</v>
      </c>
      <c r="E8" s="15">
        <f>C8/B8</f>
        <v>119.64340608465608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/>
  </sheetViews>
  <sheetFormatPr defaultRowHeight="14.4" x14ac:dyDescent="0.3"/>
  <cols>
    <col min="1" max="1" width="58" customWidth="1"/>
    <col min="2" max="2" width="16" customWidth="1"/>
  </cols>
  <sheetData>
    <row r="1" spans="1:2" ht="18" x14ac:dyDescent="0.35">
      <c r="A1" s="1" t="s">
        <v>191</v>
      </c>
    </row>
    <row r="2" spans="1:2" x14ac:dyDescent="0.3">
      <c r="A2" s="2" t="s">
        <v>192</v>
      </c>
    </row>
    <row r="4" spans="1:2" x14ac:dyDescent="0.3">
      <c r="A4" s="20" t="s">
        <v>193</v>
      </c>
    </row>
    <row r="5" spans="1:2" x14ac:dyDescent="0.3">
      <c r="A5" t="s">
        <v>194</v>
      </c>
      <c r="B5" s="21">
        <v>77509.399999999994</v>
      </c>
    </row>
    <row r="6" spans="1:2" x14ac:dyDescent="0.3">
      <c r="A6" t="s">
        <v>195</v>
      </c>
      <c r="B6" s="22">
        <v>122.639</v>
      </c>
    </row>
    <row r="7" spans="1:2" x14ac:dyDescent="0.3">
      <c r="A7" t="s">
        <v>196</v>
      </c>
      <c r="B7" s="21">
        <v>80295</v>
      </c>
    </row>
    <row r="8" spans="1:2" x14ac:dyDescent="0.3">
      <c r="A8" t="s">
        <v>197</v>
      </c>
      <c r="B8" s="22">
        <v>111.27</v>
      </c>
    </row>
    <row r="9" spans="1:2" x14ac:dyDescent="0.3">
      <c r="A9" t="s">
        <v>198</v>
      </c>
      <c r="B9" s="21">
        <v>1477.28</v>
      </c>
    </row>
    <row r="10" spans="1:2" x14ac:dyDescent="0.3">
      <c r="A10" t="s">
        <v>199</v>
      </c>
      <c r="B10" s="23">
        <v>0.52159999999999995</v>
      </c>
    </row>
    <row r="11" spans="1:2" x14ac:dyDescent="0.3">
      <c r="A11" t="s">
        <v>200</v>
      </c>
      <c r="B11" s="24">
        <v>11011556.119999999</v>
      </c>
    </row>
    <row r="12" spans="1:2" x14ac:dyDescent="0.3">
      <c r="A12" s="20" t="s">
        <v>201</v>
      </c>
    </row>
    <row r="13" spans="1:2" x14ac:dyDescent="0.3">
      <c r="A13" t="s">
        <v>202</v>
      </c>
      <c r="B13" s="25">
        <v>1</v>
      </c>
    </row>
    <row r="14" spans="1:2" x14ac:dyDescent="0.3">
      <c r="A14" t="s">
        <v>203</v>
      </c>
      <c r="B14" s="25">
        <v>2</v>
      </c>
    </row>
    <row r="16" spans="1:2" x14ac:dyDescent="0.3">
      <c r="A16" s="20" t="s">
        <v>204</v>
      </c>
    </row>
    <row r="17" spans="1:2" x14ac:dyDescent="0.3">
      <c r="A17" t="s">
        <v>205</v>
      </c>
      <c r="B17" s="26">
        <f>B5*B13/100*B6</f>
        <v>95056.75306599999</v>
      </c>
    </row>
    <row r="18" spans="1:2" x14ac:dyDescent="0.3">
      <c r="A18" t="s">
        <v>206</v>
      </c>
      <c r="B18" s="26">
        <f>B9*B10/100*B6</f>
        <v>944.99389225471987</v>
      </c>
    </row>
    <row r="19" spans="1:2" x14ac:dyDescent="0.3">
      <c r="A19" t="s">
        <v>207</v>
      </c>
      <c r="B19" s="26">
        <f>B7*B14/100*B8</f>
        <v>178688.49300000002</v>
      </c>
    </row>
    <row r="20" spans="1:2" x14ac:dyDescent="0.3">
      <c r="A20" t="s">
        <v>208</v>
      </c>
      <c r="B20" s="26">
        <f>SUM(B17:B19)</f>
        <v>274690.23995825474</v>
      </c>
    </row>
    <row r="21" spans="1:2" x14ac:dyDescent="0.3">
      <c r="A21" t="s">
        <v>209</v>
      </c>
      <c r="B21" s="27">
        <f>B20/B11</f>
        <v>2.4945633202499155E-2</v>
      </c>
    </row>
    <row r="24" spans="1:2" x14ac:dyDescent="0.3">
      <c r="A24" s="20" t="s">
        <v>210</v>
      </c>
    </row>
    <row r="25" spans="1:2" ht="30" customHeight="1" x14ac:dyDescent="0.3">
      <c r="A25" s="3" t="s">
        <v>211</v>
      </c>
      <c r="B25" s="3" t="s">
        <v>212</v>
      </c>
    </row>
    <row r="26" spans="1:2" x14ac:dyDescent="0.3">
      <c r="A26" s="19">
        <v>0.5</v>
      </c>
      <c r="B26" s="13">
        <f t="shared" ref="B26:B31" si="0">$B$5*A26/100*$B$6</f>
        <v>47528.376532999995</v>
      </c>
    </row>
    <row r="27" spans="1:2" x14ac:dyDescent="0.3">
      <c r="A27" s="19">
        <v>1</v>
      </c>
      <c r="B27" s="13">
        <f t="shared" si="0"/>
        <v>95056.75306599999</v>
      </c>
    </row>
    <row r="28" spans="1:2" x14ac:dyDescent="0.3">
      <c r="A28" s="19">
        <v>1.5</v>
      </c>
      <c r="B28" s="13">
        <f t="shared" si="0"/>
        <v>142585.12959899998</v>
      </c>
    </row>
    <row r="29" spans="1:2" x14ac:dyDescent="0.3">
      <c r="A29" s="19">
        <v>2</v>
      </c>
      <c r="B29" s="13">
        <f t="shared" si="0"/>
        <v>190113.50613199998</v>
      </c>
    </row>
    <row r="30" spans="1:2" x14ac:dyDescent="0.3">
      <c r="A30" s="19">
        <v>2.5</v>
      </c>
      <c r="B30" s="13">
        <f t="shared" si="0"/>
        <v>237641.88266499998</v>
      </c>
    </row>
    <row r="31" spans="1:2" x14ac:dyDescent="0.3">
      <c r="A31" s="19">
        <v>3</v>
      </c>
      <c r="B31" s="13">
        <f t="shared" si="0"/>
        <v>285170.25919799996</v>
      </c>
    </row>
  </sheetData>
  <dataValidations count="1">
    <dataValidation type="decimal" showErrorMessage="1" error="Enter a lift between 0 and 10 percentage points" sqref="B13:B14" xr:uid="{00000000-0002-0000-0600-000000000000}">
      <formula1>0</formula1>
      <formula2>10</formula2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Monthly</vt:lpstr>
      <vt:lpstr>Category</vt:lpstr>
      <vt:lpstr>Region</vt:lpstr>
      <vt:lpstr>RFM</vt:lpstr>
      <vt:lpstr>Payments</vt:lpstr>
      <vt:lpstr>Impact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kushal tandon</cp:lastModifiedBy>
  <dcterms:created xsi:type="dcterms:W3CDTF">2026-10-05T22:38:24Z</dcterms:created>
  <dcterms:modified xsi:type="dcterms:W3CDTF">2026-10-05T22:38:25Z</dcterms:modified>
</cp:coreProperties>
</file>